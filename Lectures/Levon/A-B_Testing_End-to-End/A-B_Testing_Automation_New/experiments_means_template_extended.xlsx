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Gagik\Desktop\Sololearn\4. Experiments\4. Content Experiments\C. Experiment 8 Messages after checkin\"/>
    </mc:Choice>
  </mc:AlternateContent>
  <xr:revisionPtr revIDLastSave="0" documentId="13_ncr:1_{10DC471C-A087-4E73-8B1B-940A2AFCFCAD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Report" sheetId="1" r:id="rId1"/>
    <sheet name="Inpu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" i="1" l="1"/>
  <c r="D4" i="1"/>
  <c r="E23" i="1"/>
  <c r="D23" i="1"/>
  <c r="E22" i="1"/>
  <c r="D22" i="1"/>
  <c r="E21" i="1"/>
  <c r="D21" i="1"/>
  <c r="E20" i="1"/>
  <c r="D20" i="1"/>
  <c r="E19" i="1"/>
  <c r="D19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6" i="1"/>
  <c r="D6" i="1"/>
  <c r="F19" i="1" l="1"/>
  <c r="F15" i="1"/>
  <c r="F23" i="1"/>
  <c r="F22" i="1"/>
  <c r="F21" i="1"/>
  <c r="F20" i="1"/>
  <c r="F17" i="1"/>
  <c r="F14" i="1"/>
  <c r="F11" i="1"/>
  <c r="F10" i="1"/>
  <c r="F9" i="1"/>
  <c r="F8" i="1"/>
  <c r="F12" i="1"/>
  <c r="F16" i="1"/>
  <c r="F13" i="1"/>
  <c r="F6" i="1"/>
  <c r="N25" i="2"/>
  <c r="N24" i="2"/>
  <c r="N23" i="2"/>
  <c r="N22" i="2"/>
  <c r="N21" i="2"/>
  <c r="N19" i="2"/>
  <c r="N18" i="2"/>
  <c r="N17" i="2"/>
  <c r="N16" i="2"/>
  <c r="N15" i="2"/>
  <c r="N14" i="2"/>
  <c r="N13" i="2"/>
  <c r="N12" i="2"/>
  <c r="N11" i="2"/>
  <c r="N10" i="2"/>
  <c r="N8" i="2"/>
  <c r="Q16" i="2" l="1"/>
  <c r="K14" i="1" s="1"/>
  <c r="Q17" i="2"/>
  <c r="K15" i="1" s="1"/>
  <c r="Q18" i="2"/>
  <c r="K16" i="1" s="1"/>
  <c r="Q19" i="2"/>
  <c r="K17" i="1" s="1"/>
  <c r="O16" i="2"/>
  <c r="O17" i="2"/>
  <c r="O18" i="2"/>
  <c r="O19" i="2"/>
  <c r="AL14" i="1"/>
  <c r="AL15" i="1"/>
  <c r="AL16" i="1"/>
  <c r="AL17" i="1"/>
  <c r="H14" i="1"/>
  <c r="I14" i="1"/>
  <c r="H15" i="1"/>
  <c r="AM15" i="1" s="1"/>
  <c r="I15" i="1"/>
  <c r="H16" i="1"/>
  <c r="AM16" i="1" s="1"/>
  <c r="I16" i="1"/>
  <c r="H17" i="1"/>
  <c r="AM17" i="1" s="1"/>
  <c r="I17" i="1"/>
  <c r="J16" i="1" l="1"/>
  <c r="J15" i="1"/>
  <c r="J17" i="1"/>
  <c r="AN17" i="1"/>
  <c r="AN16" i="1"/>
  <c r="AN15" i="1"/>
  <c r="AN14" i="1"/>
  <c r="AM14" i="1"/>
  <c r="J14" i="1"/>
  <c r="B20" i="1"/>
  <c r="B21" i="1"/>
  <c r="B19" i="1"/>
  <c r="AL13" i="1" l="1"/>
  <c r="AL12" i="1"/>
  <c r="AL11" i="1"/>
  <c r="AL10" i="1"/>
  <c r="AL9" i="1"/>
  <c r="AL8" i="1"/>
  <c r="AL6" i="1"/>
  <c r="Q25" i="2" l="1"/>
  <c r="K23" i="1" s="1"/>
  <c r="Q24" i="2"/>
  <c r="K22" i="1" s="1"/>
  <c r="Q23" i="2"/>
  <c r="K21" i="1" s="1"/>
  <c r="Q22" i="2"/>
  <c r="K20" i="1" s="1"/>
  <c r="Q21" i="2"/>
  <c r="K19" i="1" s="1"/>
  <c r="Q15" i="2"/>
  <c r="K13" i="1" s="1"/>
  <c r="Q14" i="2"/>
  <c r="K12" i="1" s="1"/>
  <c r="Q13" i="2"/>
  <c r="K11" i="1" s="1"/>
  <c r="Q12" i="2"/>
  <c r="K10" i="1" s="1"/>
  <c r="Q11" i="2"/>
  <c r="K9" i="1" s="1"/>
  <c r="Q10" i="2"/>
  <c r="K8" i="1" s="1"/>
  <c r="Q8" i="2"/>
  <c r="K6" i="1" s="1"/>
  <c r="I23" i="1"/>
  <c r="I22" i="1"/>
  <c r="I21" i="1"/>
  <c r="I20" i="1"/>
  <c r="I19" i="1"/>
  <c r="I13" i="1"/>
  <c r="I12" i="1"/>
  <c r="I11" i="1"/>
  <c r="I10" i="1"/>
  <c r="I9" i="1"/>
  <c r="I8" i="1"/>
  <c r="I6" i="1"/>
  <c r="AN4" i="1"/>
  <c r="AM4" i="1"/>
  <c r="H23" i="1"/>
  <c r="AM23" i="1" s="1"/>
  <c r="H22" i="1"/>
  <c r="AM22" i="1" s="1"/>
  <c r="H21" i="1"/>
  <c r="AM21" i="1" s="1"/>
  <c r="H20" i="1"/>
  <c r="AM20" i="1" s="1"/>
  <c r="H19" i="1"/>
  <c r="AM19" i="1" s="1"/>
  <c r="H13" i="1"/>
  <c r="AM13" i="1" s="1"/>
  <c r="H12" i="1"/>
  <c r="AM12" i="1" s="1"/>
  <c r="H11" i="1"/>
  <c r="AM11" i="1" s="1"/>
  <c r="H10" i="1"/>
  <c r="AM10" i="1" s="1"/>
  <c r="H9" i="1"/>
  <c r="AM9" i="1" s="1"/>
  <c r="H8" i="1"/>
  <c r="AM8" i="1" s="1"/>
  <c r="H6" i="1"/>
  <c r="AM6" i="1" s="1"/>
  <c r="O25" i="2"/>
  <c r="O24" i="2"/>
  <c r="O23" i="2"/>
  <c r="O22" i="2"/>
  <c r="O21" i="2"/>
  <c r="O15" i="2"/>
  <c r="O14" i="2"/>
  <c r="O13" i="2"/>
  <c r="O12" i="2"/>
  <c r="O11" i="2"/>
  <c r="O10" i="2"/>
  <c r="O8" i="2"/>
  <c r="AN20" i="1" l="1"/>
  <c r="AN11" i="1"/>
  <c r="AN21" i="1"/>
  <c r="AN12" i="1"/>
  <c r="AN22" i="1"/>
  <c r="AN9" i="1"/>
  <c r="AN23" i="1"/>
  <c r="AN6" i="1"/>
  <c r="AN8" i="1"/>
  <c r="AN10" i="1"/>
  <c r="AN13" i="1"/>
  <c r="AN19" i="1"/>
  <c r="J20" i="1"/>
  <c r="J13" i="1"/>
  <c r="J8" i="1"/>
  <c r="J6" i="1"/>
  <c r="J10" i="1"/>
  <c r="J11" i="1"/>
  <c r="J12" i="1"/>
  <c r="J9" i="1"/>
  <c r="J19" i="1"/>
  <c r="J21" i="1"/>
  <c r="J22" i="1"/>
  <c r="J23" i="1"/>
</calcChain>
</file>

<file path=xl/sharedStrings.xml><?xml version="1.0" encoding="utf-8"?>
<sst xmlns="http://schemas.openxmlformats.org/spreadsheetml/2006/main" count="71" uniqueCount="40">
  <si>
    <t>KPI</t>
  </si>
  <si>
    <t>UserCount</t>
  </si>
  <si>
    <t>Checkins</t>
  </si>
  <si>
    <t>Contest</t>
  </si>
  <si>
    <t>Social</t>
  </si>
  <si>
    <t>Control</t>
  </si>
  <si>
    <t>Treatment</t>
  </si>
  <si>
    <t>Learn</t>
  </si>
  <si>
    <t>Social_1</t>
  </si>
  <si>
    <t>Social_2</t>
  </si>
  <si>
    <t>Total</t>
  </si>
  <si>
    <t>diff</t>
  </si>
  <si>
    <t>Number of users</t>
  </si>
  <si>
    <t>Difference</t>
  </si>
  <si>
    <t>Increase/ 
decrease</t>
  </si>
  <si>
    <t>p-value</t>
  </si>
  <si>
    <t>power</t>
  </si>
  <si>
    <t>sig.</t>
  </si>
  <si>
    <t>min sample size</t>
  </si>
  <si>
    <t>N/A</t>
  </si>
  <si>
    <t>sig</t>
  </si>
  <si>
    <t>Value</t>
  </si>
  <si>
    <t>Lessons</t>
  </si>
  <si>
    <t>Q&amp;A</t>
  </si>
  <si>
    <t>Code</t>
  </si>
  <si>
    <t>Post</t>
  </si>
  <si>
    <t>UserLesson</t>
  </si>
  <si>
    <t>Learn (L+UL)</t>
  </si>
  <si>
    <t>Social_2 (P, OP, CP)</t>
  </si>
  <si>
    <t>Social_1 (UC, UP, DP)</t>
  </si>
  <si>
    <t>Profile</t>
  </si>
  <si>
    <t>Own profile</t>
  </si>
  <si>
    <t>Followed by the user</t>
  </si>
  <si>
    <t>Followed to the user</t>
  </si>
  <si>
    <t>%</t>
  </si>
  <si>
    <t>diff in %</t>
  </si>
  <si>
    <t>Percentages</t>
  </si>
  <si>
    <t>Average values</t>
  </si>
  <si>
    <r>
      <rPr>
        <b/>
        <sz val="11"/>
        <color rgb="FFFF0000"/>
        <rFont val="Calibri"/>
        <family val="2"/>
        <scheme val="minor"/>
      </rPr>
      <t>***</t>
    </r>
    <r>
      <rPr>
        <b/>
        <sz val="11"/>
        <color theme="1"/>
        <rFont val="Calibri"/>
        <family val="2"/>
        <scheme val="minor"/>
      </rPr>
      <t xml:space="preserve"> - we are very confident
</t>
    </r>
    <r>
      <rPr>
        <b/>
        <sz val="11"/>
        <color rgb="FFFF0000"/>
        <rFont val="Calibri"/>
        <family val="2"/>
        <scheme val="minor"/>
      </rPr>
      <t xml:space="preserve">** </t>
    </r>
    <r>
      <rPr>
        <b/>
        <sz val="11"/>
        <color theme="1"/>
        <rFont val="Calibri"/>
        <family val="2"/>
        <scheme val="minor"/>
      </rPr>
      <t xml:space="preserve">  - we are confident
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    - we are confident, but should be cautious
</t>
    </r>
    <r>
      <rPr>
        <b/>
        <sz val="11"/>
        <color rgb="FFFF0000"/>
        <rFont val="Calibri"/>
        <family val="2"/>
        <scheme val="minor"/>
      </rPr>
      <t>---</t>
    </r>
    <r>
      <rPr>
        <b/>
        <sz val="11"/>
        <color theme="1"/>
        <rFont val="Calibri"/>
        <family val="2"/>
        <scheme val="minor"/>
      </rPr>
      <t xml:space="preserve">   - no confidence</t>
    </r>
  </si>
  <si>
    <r>
      <t xml:space="preserve">Notations:
</t>
    </r>
    <r>
      <rPr>
        <b/>
        <sz val="11"/>
        <color rgb="FFFF0000"/>
        <rFont val="Calibri"/>
        <family val="2"/>
        <scheme val="minor"/>
      </rPr>
      <t>Percentages -</t>
    </r>
    <r>
      <rPr>
        <b/>
        <sz val="11"/>
        <rFont val="Calibri"/>
        <family val="2"/>
        <scheme val="minor"/>
      </rPr>
      <t xml:space="preserve"> this numbers show what percentages of users have at least one of that activity.</t>
    </r>
    <r>
      <rPr>
        <b/>
        <sz val="11"/>
        <color rgb="FFFF0000"/>
        <rFont val="Calibri"/>
        <family val="2"/>
        <scheme val="minor"/>
      </rPr>
      <t xml:space="preserve">
Average values -</t>
    </r>
    <r>
      <rPr>
        <b/>
        <sz val="11"/>
        <rFont val="Calibri"/>
        <family val="2"/>
        <scheme val="minor"/>
      </rPr>
      <t xml:space="preserve"> this number shows how many activities do the users have.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</si>
</sst>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5" tint="-0.249977111117893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6"/>
      <color theme="5" tint="-0.249977111117893"/>
      <name val="Calibri"/>
      <family val="2"/>
      <scheme val="minor"/>
    </font>
    <font>
      <i/>
      <u val="singleAccounting"/>
      <sz val="16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sz val="11"/>
      <color theme="8" tint="0.399975585192419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5" fillId="0" borderId="1" xfId="0" applyFont="1" applyBorder="1"/>
    <xf numFmtId="164" fontId="6" fillId="0" borderId="1" xfId="1" applyNumberFormat="1" applyFont="1" applyBorder="1"/>
    <xf numFmtId="9" fontId="7" fillId="0" borderId="1" xfId="2" applyFont="1" applyBorder="1"/>
    <xf numFmtId="0" fontId="4" fillId="0" borderId="1" xfId="0" applyFont="1" applyBorder="1"/>
    <xf numFmtId="43" fontId="0" fillId="0" borderId="1" xfId="1" applyFont="1" applyBorder="1"/>
    <xf numFmtId="0" fontId="9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43" fontId="0" fillId="4" borderId="1" xfId="1" applyFont="1" applyFill="1" applyBorder="1"/>
    <xf numFmtId="0" fontId="10" fillId="0" borderId="1" xfId="0" applyFont="1" applyBorder="1"/>
    <xf numFmtId="0" fontId="0" fillId="4" borderId="0" xfId="0" applyFill="1"/>
    <xf numFmtId="0" fontId="11" fillId="3" borderId="1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4" fillId="6" borderId="0" xfId="0" applyFont="1" applyFill="1"/>
    <xf numFmtId="43" fontId="0" fillId="0" borderId="0" xfId="1" applyFont="1" applyBorder="1"/>
    <xf numFmtId="43" fontId="0" fillId="0" borderId="6" xfId="1" applyFont="1" applyBorder="1"/>
    <xf numFmtId="43" fontId="0" fillId="5" borderId="0" xfId="1" applyFont="1" applyFill="1"/>
    <xf numFmtId="43" fontId="0" fillId="0" borderId="7" xfId="1" applyFont="1" applyBorder="1"/>
    <xf numFmtId="43" fontId="0" fillId="0" borderId="8" xfId="1" applyFont="1" applyBorder="1"/>
    <xf numFmtId="164" fontId="2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/>
    <xf numFmtId="165" fontId="0" fillId="0" borderId="1" xfId="1" applyNumberFormat="1" applyFont="1" applyBorder="1"/>
    <xf numFmtId="43" fontId="2" fillId="2" borderId="1" xfId="1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164" fontId="0" fillId="0" borderId="6" xfId="1" applyNumberFormat="1" applyFont="1" applyBorder="1"/>
    <xf numFmtId="164" fontId="0" fillId="0" borderId="8" xfId="1" applyNumberFormat="1" applyFont="1" applyBorder="1"/>
    <xf numFmtId="164" fontId="0" fillId="0" borderId="0" xfId="0" applyNumberFormat="1"/>
    <xf numFmtId="9" fontId="13" fillId="0" borderId="1" xfId="2" applyFont="1" applyFill="1" applyBorder="1"/>
    <xf numFmtId="43" fontId="3" fillId="0" borderId="1" xfId="1" applyFont="1" applyFill="1" applyBorder="1"/>
    <xf numFmtId="164" fontId="2" fillId="2" borderId="9" xfId="1" applyNumberFormat="1" applyFont="1" applyFill="1" applyBorder="1" applyAlignment="1">
      <alignment horizontal="center" vertical="center" wrapText="1"/>
    </xf>
    <xf numFmtId="164" fontId="0" fillId="0" borderId="9" xfId="1" applyNumberFormat="1" applyFont="1" applyBorder="1"/>
    <xf numFmtId="164" fontId="0" fillId="0" borderId="9" xfId="0" applyNumberFormat="1" applyBorder="1"/>
    <xf numFmtId="9" fontId="0" fillId="0" borderId="1" xfId="2" applyFont="1" applyBorder="1"/>
    <xf numFmtId="0" fontId="4" fillId="8" borderId="1" xfId="0" applyFont="1" applyFill="1" applyBorder="1"/>
    <xf numFmtId="0" fontId="10" fillId="8" borderId="1" xfId="0" applyFont="1" applyFill="1" applyBorder="1"/>
    <xf numFmtId="9" fontId="0" fillId="4" borderId="1" xfId="2" applyFont="1" applyFill="1" applyBorder="1"/>
    <xf numFmtId="9" fontId="8" fillId="0" borderId="1" xfId="2" applyFont="1" applyFill="1" applyBorder="1"/>
    <xf numFmtId="43" fontId="0" fillId="0" borderId="1" xfId="1" applyFont="1" applyFill="1" applyBorder="1"/>
    <xf numFmtId="0" fontId="9" fillId="2" borderId="1" xfId="0" applyFont="1" applyFill="1" applyBorder="1" applyAlignment="1">
      <alignment horizontal="center" vertical="center"/>
    </xf>
    <xf numFmtId="0" fontId="0" fillId="4" borderId="0" xfId="0" applyFill="1" applyBorder="1"/>
    <xf numFmtId="43" fontId="0" fillId="4" borderId="0" xfId="1" applyFont="1" applyFill="1" applyBorder="1"/>
    <xf numFmtId="0" fontId="0" fillId="0" borderId="0" xfId="0" applyBorder="1"/>
    <xf numFmtId="0" fontId="11" fillId="4" borderId="0" xfId="0" applyFont="1" applyFill="1" applyBorder="1" applyAlignment="1">
      <alignment horizontal="center" vertical="center"/>
    </xf>
    <xf numFmtId="164" fontId="6" fillId="4" borderId="0" xfId="1" applyNumberFormat="1" applyFont="1" applyFill="1" applyBorder="1"/>
    <xf numFmtId="164" fontId="14" fillId="4" borderId="0" xfId="1" applyNumberFormat="1" applyFont="1" applyFill="1" applyBorder="1"/>
    <xf numFmtId="0" fontId="11" fillId="2" borderId="1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43" fontId="17" fillId="0" borderId="1" xfId="1" applyFont="1" applyBorder="1"/>
    <xf numFmtId="43" fontId="17" fillId="0" borderId="12" xfId="1" applyFont="1" applyBorder="1"/>
    <xf numFmtId="43" fontId="17" fillId="4" borderId="1" xfId="1" applyFont="1" applyFill="1" applyBorder="1"/>
    <xf numFmtId="43" fontId="17" fillId="4" borderId="12" xfId="1" applyFont="1" applyFill="1" applyBorder="1"/>
    <xf numFmtId="9" fontId="18" fillId="0" borderId="1" xfId="2" applyFont="1" applyFill="1" applyBorder="1"/>
    <xf numFmtId="43" fontId="19" fillId="0" borderId="1" xfId="1" applyFont="1" applyFill="1" applyBorder="1"/>
    <xf numFmtId="164" fontId="15" fillId="0" borderId="0" xfId="1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5">
                    <a:lumMod val="75000"/>
                  </a:schemeClr>
                </a:solidFill>
              </a:rPr>
              <a:t>Average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48523007877035E-2"/>
          <c:y val="5.9779227046689642E-2"/>
          <c:w val="0.75130389439440637"/>
          <c:h val="0.93858179787828033"/>
        </c:manualLayout>
      </c:layout>
      <c:lineChart>
        <c:grouping val="standard"/>
        <c:varyColors val="0"/>
        <c:ser>
          <c:idx val="1"/>
          <c:order val="0"/>
          <c:tx>
            <c:strRef>
              <c:f>Report!$AL$6</c:f>
              <c:strCache>
                <c:ptCount val="1"/>
                <c:pt idx="0">
                  <c:v>Checkins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Report!$AM$6:$AN$6</c:f>
              <c:numCache>
                <c:formatCode>0%</c:formatCode>
                <c:ptCount val="2"/>
                <c:pt idx="0">
                  <c:v>0</c:v>
                </c:pt>
                <c:pt idx="1">
                  <c:v>-4.2252018156744287E-3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9-4951-8270-3A9BA338B24E}"/>
            </c:ext>
          </c:extLst>
        </c:ser>
        <c:ser>
          <c:idx val="2"/>
          <c:order val="1"/>
          <c:tx>
            <c:strRef>
              <c:f>Report!$AL$8</c:f>
              <c:strCache>
                <c:ptCount val="1"/>
                <c:pt idx="0">
                  <c:v>Lessons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Report!$AM$8:$AN$8</c:f>
              <c:numCache>
                <c:formatCode>0%</c:formatCode>
                <c:ptCount val="2"/>
                <c:pt idx="0">
                  <c:v>0</c:v>
                </c:pt>
                <c:pt idx="1">
                  <c:v>5.9655516660781505E-3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9-4951-8270-3A9BA338B24E}"/>
            </c:ext>
          </c:extLst>
        </c:ser>
        <c:ser>
          <c:idx val="3"/>
          <c:order val="2"/>
          <c:tx>
            <c:strRef>
              <c:f>Report!$AL$9</c:f>
              <c:strCache>
                <c:ptCount val="1"/>
                <c:pt idx="0">
                  <c:v>UserLesson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Report!$AM$9:$AN$9</c:f>
              <c:numCache>
                <c:formatCode>0%</c:formatCode>
                <c:ptCount val="2"/>
                <c:pt idx="0">
                  <c:v>0</c:v>
                </c:pt>
                <c:pt idx="1">
                  <c:v>1.5735353778720151E-2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9-4951-8270-3A9BA338B24E}"/>
            </c:ext>
          </c:extLst>
        </c:ser>
        <c:ser>
          <c:idx val="4"/>
          <c:order val="3"/>
          <c:tx>
            <c:strRef>
              <c:f>Report!$AL$10</c:f>
              <c:strCache>
                <c:ptCount val="1"/>
                <c:pt idx="0">
                  <c:v>Post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Report!$AM$10:$AN$10</c:f>
              <c:numCache>
                <c:formatCode>0%</c:formatCode>
                <c:ptCount val="2"/>
                <c:pt idx="0">
                  <c:v>0</c:v>
                </c:pt>
                <c:pt idx="1">
                  <c:v>0.41697101620595256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59-4951-8270-3A9BA338B24E}"/>
            </c:ext>
          </c:extLst>
        </c:ser>
        <c:ser>
          <c:idx val="5"/>
          <c:order val="4"/>
          <c:tx>
            <c:strRef>
              <c:f>Report!$AL$11</c:f>
              <c:strCache>
                <c:ptCount val="1"/>
                <c:pt idx="0">
                  <c:v>Code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Report!$AM$11:$AN$11</c:f>
              <c:numCache>
                <c:formatCode>0%</c:formatCode>
                <c:ptCount val="2"/>
                <c:pt idx="0">
                  <c:v>0</c:v>
                </c:pt>
                <c:pt idx="1">
                  <c:v>0.15424858032962652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59-4951-8270-3A9BA338B24E}"/>
            </c:ext>
          </c:extLst>
        </c:ser>
        <c:ser>
          <c:idx val="6"/>
          <c:order val="5"/>
          <c:tx>
            <c:strRef>
              <c:f>Report!$AL$12</c:f>
              <c:strCache>
                <c:ptCount val="1"/>
                <c:pt idx="0">
                  <c:v>Q&amp;A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Report!$AM$12:$AN$12</c:f>
              <c:numCache>
                <c:formatCode>0%</c:formatCode>
                <c:ptCount val="2"/>
                <c:pt idx="0">
                  <c:v>0</c:v>
                </c:pt>
                <c:pt idx="1">
                  <c:v>0.11570158448926859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59-4951-8270-3A9BA338B24E}"/>
            </c:ext>
          </c:extLst>
        </c:ser>
        <c:ser>
          <c:idx val="7"/>
          <c:order val="6"/>
          <c:tx>
            <c:strRef>
              <c:f>Report!$AL$13</c:f>
              <c:strCache>
                <c:ptCount val="1"/>
                <c:pt idx="0">
                  <c:v>Contest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759-4951-8270-3A9BA338B2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Report!$AM$13:$AN$13</c:f>
              <c:numCache>
                <c:formatCode>0%</c:formatCode>
                <c:ptCount val="2"/>
                <c:pt idx="0">
                  <c:v>0</c:v>
                </c:pt>
                <c:pt idx="1">
                  <c:v>4.8963186745540233E-2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759-4951-8270-3A9BA338B24E}"/>
            </c:ext>
          </c:extLst>
        </c:ser>
        <c:ser>
          <c:idx val="0"/>
          <c:order val="12"/>
          <c:tx>
            <c:strRef>
              <c:f>Report!$AL$14</c:f>
              <c:strCache>
                <c:ptCount val="1"/>
                <c:pt idx="0">
                  <c:v>Profile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A13-4AB5-B820-1C4601C64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Report!$AM$14:$AN$14</c:f>
              <c:numCache>
                <c:formatCode>0%</c:formatCode>
                <c:ptCount val="2"/>
                <c:pt idx="0">
                  <c:v>0</c:v>
                </c:pt>
                <c:pt idx="1">
                  <c:v>0.14278110379389597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3-4AB5-B820-1C4601C646EB}"/>
            </c:ext>
          </c:extLst>
        </c:ser>
        <c:ser>
          <c:idx val="13"/>
          <c:order val="13"/>
          <c:tx>
            <c:strRef>
              <c:f>Report!$AL$15</c:f>
              <c:strCache>
                <c:ptCount val="1"/>
                <c:pt idx="0">
                  <c:v>Own profile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A13-4AB5-B820-1C4601C64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Report!$AM$15:$AN$15</c:f>
              <c:numCache>
                <c:formatCode>0%</c:formatCode>
                <c:ptCount val="2"/>
                <c:pt idx="0">
                  <c:v>0</c:v>
                </c:pt>
                <c:pt idx="1">
                  <c:v>2.7291898209862664E-2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3-4AB5-B820-1C4601C646EB}"/>
            </c:ext>
          </c:extLst>
        </c:ser>
        <c:ser>
          <c:idx val="14"/>
          <c:order val="14"/>
          <c:tx>
            <c:strRef>
              <c:f>Report!$AL$16</c:f>
              <c:strCache>
                <c:ptCount val="1"/>
                <c:pt idx="0">
                  <c:v>Followed to the user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13-4AB5-B820-1C4601C64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Report!$AM$16:$AN$16</c:f>
              <c:numCache>
                <c:formatCode>0%</c:formatCode>
                <c:ptCount val="2"/>
                <c:pt idx="0">
                  <c:v>0</c:v>
                </c:pt>
                <c:pt idx="1">
                  <c:v>2.3041664130963202E-2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3-4AB5-B820-1C4601C646EB}"/>
            </c:ext>
          </c:extLst>
        </c:ser>
        <c:ser>
          <c:idx val="15"/>
          <c:order val="15"/>
          <c:tx>
            <c:strRef>
              <c:f>Report!$AL$17</c:f>
              <c:strCache>
                <c:ptCount val="1"/>
                <c:pt idx="0">
                  <c:v>Followed by the user</c:v>
                </c:pt>
              </c:strCache>
            </c:strRef>
          </c:tx>
          <c:spPr>
            <a:ln w="1270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13-4AB5-B820-1C4601C646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Report!$AM$17:$AN$17</c:f>
              <c:numCache>
                <c:formatCode>0%</c:formatCode>
                <c:ptCount val="2"/>
                <c:pt idx="0">
                  <c:v>0</c:v>
                </c:pt>
                <c:pt idx="1">
                  <c:v>0.20428282475639281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13-4AB5-B820-1C4601C64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28095"/>
        <c:axId val="37479375"/>
        <c:extLst>
          <c:ext xmlns:c15="http://schemas.microsoft.com/office/drawing/2012/chart" uri="{02D57815-91ED-43cb-92C2-25804820EDAC}">
            <c15:filteredLineSeries>
              <c15:ser>
                <c:idx val="8"/>
                <c:order val="7"/>
                <c:tx>
                  <c:strRef>
                    <c:extLst>
                      <c:ext uri="{02D57815-91ED-43cb-92C2-25804820EDAC}">
                        <c15:formulaRef>
                          <c15:sqref>Report!$AL$19</c15:sqref>
                        </c15:formulaRef>
                      </c:ext>
                    </c:extLst>
                    <c:strCache>
                      <c:ptCount val="1"/>
                      <c:pt idx="0">
                        <c:v>Learn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B759-4951-8270-3A9BA338B24E}"/>
                      </c:ext>
                    </c:extLst>
                  </c:dLbl>
                  <c:dLbl>
                    <c:idx val="1"/>
                    <c:showLegendKey val="0"/>
                    <c:showVal val="1"/>
                    <c:showCatName val="0"/>
                    <c:showSerName val="1"/>
                    <c:showPercent val="0"/>
                    <c:showBubbleSize val="0"/>
                    <c:separator> </c:separator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Report!$AM$19:$AN$19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6.5784083900208845E-3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8-B759-4951-8270-3A9BA338B24E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Report!$AL$20</c15:sqref>
                        </c15:formulaRef>
                      </c:ext>
                    </c:extLst>
                    <c:strCache>
                      <c:ptCount val="1"/>
                      <c:pt idx="0">
                        <c:v>Social_1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Report!$AM$20:$AN$20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0.29874525327331503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759-4951-8270-3A9BA338B24E}"/>
                  </c:ext>
                </c:extLst>
              </c15:ser>
            </c15:filteredLineSeries>
            <c15:filteredLineSeries>
              <c15:ser>
                <c:idx val="10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Report!$AL$21</c15:sqref>
                        </c15:formulaRef>
                      </c:ext>
                    </c:extLst>
                    <c:strCache>
                      <c:ptCount val="1"/>
                      <c:pt idx="0">
                        <c:v>Social_2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Report!$AM$21:$AN$21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6.997908079026427E-2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759-4951-8270-3A9BA338B24E}"/>
                  </c:ext>
                </c:extLst>
              </c15:ser>
            </c15:filteredLineSeries>
            <c15:filteredLineSeries>
              <c15:ser>
                <c:idx val="11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Report!$AL$22</c15:sqref>
                        </c15:formulaRef>
                      </c:ext>
                    </c:extLst>
                    <c:strCache>
                      <c:ptCount val="1"/>
                      <c:pt idx="0">
                        <c:v>Social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Report!$AM$22:$AN$22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0.23349363979605342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759-4951-8270-3A9BA338B24E}"/>
                  </c:ext>
                </c:extLst>
              </c15:ser>
            </c15:filteredLineSeries>
            <c15:filteredLine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Report!$AL$23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12700" cap="rnd">
                    <a:solidFill>
                      <a:schemeClr val="accent1">
                        <a:lumMod val="7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75000"/>
                      </a:schemeClr>
                    </a:solidFill>
                    <a:ln w="9525">
                      <a:solidFill>
                        <a:schemeClr val="accent1">
                          <a:lumMod val="7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B759-4951-8270-3A9BA338B24E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Report!$AM$23:$AN$23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7.4010673715370956E-2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759-4951-8270-3A9BA338B24E}"/>
                  </c:ext>
                </c:extLst>
              </c15:ser>
            </c15:filteredLineSeries>
          </c:ext>
        </c:extLst>
      </c:lineChart>
      <c:catAx>
        <c:axId val="35328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79375"/>
        <c:crosses val="autoZero"/>
        <c:auto val="1"/>
        <c:lblAlgn val="ctr"/>
        <c:lblOffset val="100"/>
        <c:noMultiLvlLbl val="0"/>
      </c:catAx>
      <c:valAx>
        <c:axId val="374793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532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Note that we are only confident in </a:t>
            </a:r>
          </a:p>
          <a:p>
            <a:pPr>
              <a:defRPr/>
            </a:pP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the</a:t>
            </a:r>
            <a:r>
              <a:rPr lang="en-GB" baseline="0">
                <a:solidFill>
                  <a:schemeClr val="accent4">
                    <a:lumMod val="75000"/>
                  </a:schemeClr>
                </a:solidFill>
              </a:rPr>
              <a:t> </a:t>
            </a:r>
            <a:r>
              <a:rPr lang="en-GB">
                <a:solidFill>
                  <a:schemeClr val="accent4">
                    <a:lumMod val="75000"/>
                  </a:schemeClr>
                </a:solidFill>
              </a:rPr>
              <a:t>numbers with stars.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48523007877035E-2"/>
          <c:y val="5.9779227046689642E-2"/>
          <c:w val="0.75130389439440637"/>
          <c:h val="0.93858179787828033"/>
        </c:manualLayout>
      </c:layout>
      <c:lineChart>
        <c:grouping val="standard"/>
        <c:varyColors val="0"/>
        <c:ser>
          <c:idx val="8"/>
          <c:order val="7"/>
          <c:tx>
            <c:strRef>
              <c:f>Report!$AL$19</c:f>
              <c:strCache>
                <c:ptCount val="1"/>
                <c:pt idx="0">
                  <c:v>Learn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D89-44FE-AD2A-B464F37840DD}"/>
                </c:ext>
              </c:extLst>
            </c:dLbl>
            <c:dLbl>
              <c:idx val="1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Report!$AM$19:$AN$19</c:f>
              <c:numCache>
                <c:formatCode>0%</c:formatCode>
                <c:ptCount val="2"/>
                <c:pt idx="0">
                  <c:v>0</c:v>
                </c:pt>
                <c:pt idx="1">
                  <c:v>6.5784083900208845E-3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D89-44FE-AD2A-B464F37840DD}"/>
            </c:ext>
          </c:extLst>
        </c:ser>
        <c:ser>
          <c:idx val="9"/>
          <c:order val="8"/>
          <c:tx>
            <c:strRef>
              <c:f>Report!$AL$20</c:f>
              <c:strCache>
                <c:ptCount val="1"/>
                <c:pt idx="0">
                  <c:v>Social_1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Report!$AM$20:$AN$20</c:f>
              <c:numCache>
                <c:formatCode>0%</c:formatCode>
                <c:ptCount val="2"/>
                <c:pt idx="0">
                  <c:v>0</c:v>
                </c:pt>
                <c:pt idx="1">
                  <c:v>0.29874525327331503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D89-44FE-AD2A-B464F37840DD}"/>
            </c:ext>
          </c:extLst>
        </c:ser>
        <c:ser>
          <c:idx val="10"/>
          <c:order val="9"/>
          <c:tx>
            <c:strRef>
              <c:f>Report!$AL$21</c:f>
              <c:strCache>
                <c:ptCount val="1"/>
                <c:pt idx="0">
                  <c:v>Social_2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Report!$AM$21:$AN$21</c:f>
              <c:numCache>
                <c:formatCode>0%</c:formatCode>
                <c:ptCount val="2"/>
                <c:pt idx="0">
                  <c:v>0</c:v>
                </c:pt>
                <c:pt idx="1">
                  <c:v>6.997908079026427E-2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89-44FE-AD2A-B464F37840DD}"/>
            </c:ext>
          </c:extLst>
        </c:ser>
        <c:ser>
          <c:idx val="11"/>
          <c:order val="10"/>
          <c:tx>
            <c:strRef>
              <c:f>Report!$AL$22</c:f>
              <c:strCache>
                <c:ptCount val="1"/>
                <c:pt idx="0">
                  <c:v>Social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Report!$AM$22:$AN$22</c:f>
              <c:numCache>
                <c:formatCode>0%</c:formatCode>
                <c:ptCount val="2"/>
                <c:pt idx="0">
                  <c:v>0</c:v>
                </c:pt>
                <c:pt idx="1">
                  <c:v>0.23349363979605342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D89-44FE-AD2A-B464F37840DD}"/>
            </c:ext>
          </c:extLst>
        </c:ser>
        <c:ser>
          <c:idx val="12"/>
          <c:order val="11"/>
          <c:tx>
            <c:strRef>
              <c:f>Report!$AL$23</c:f>
              <c:strCache>
                <c:ptCount val="1"/>
                <c:pt idx="0">
                  <c:v>Total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D89-44FE-AD2A-B464F37840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Report!$AM$3:$AN$3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Report!$AM$23:$AN$23</c:f>
              <c:numCache>
                <c:formatCode>0%</c:formatCode>
                <c:ptCount val="2"/>
                <c:pt idx="0">
                  <c:v>0</c:v>
                </c:pt>
                <c:pt idx="1">
                  <c:v>7.4010673715370956E-2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D89-44FE-AD2A-B464F3784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28095"/>
        <c:axId val="37479375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Report!$AL$6</c15:sqref>
                        </c15:formulaRef>
                      </c:ext>
                    </c:extLst>
                    <c:strCache>
                      <c:ptCount val="1"/>
                      <c:pt idx="0">
                        <c:v>Checkins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Report!$AM$6:$AN$6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-4.2252018156744287E-3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BD89-44FE-AD2A-B464F37840DD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Report!$AL$8</c15:sqref>
                        </c15:formulaRef>
                      </c:ext>
                    </c:extLst>
                    <c:strCache>
                      <c:ptCount val="1"/>
                      <c:pt idx="0">
                        <c:v>Lessons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Report!$AM$8:$AN$8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5.9655516660781505E-3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D89-44FE-AD2A-B464F37840DD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Report!$AL$9</c15:sqref>
                        </c15:formulaRef>
                      </c:ext>
                    </c:extLst>
                    <c:strCache>
                      <c:ptCount val="1"/>
                      <c:pt idx="0">
                        <c:v>UserLesson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Report!$AM$9:$AN$9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1.5735353778720151E-2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89-44FE-AD2A-B464F37840DD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Report!$AL$10</c15:sqref>
                        </c15:formulaRef>
                      </c:ext>
                    </c:extLst>
                    <c:strCache>
                      <c:ptCount val="1"/>
                      <c:pt idx="0">
                        <c:v>Post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Report!$AM$10:$AN$10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0.41697101620595256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D89-44FE-AD2A-B464F37840DD}"/>
                  </c:ext>
                </c:extLst>
              </c15:ser>
            </c15:filteredLineSeries>
            <c15:filteredLine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Report!$AL$11</c15:sqref>
                        </c15:formulaRef>
                      </c:ext>
                    </c:extLst>
                    <c:strCache>
                      <c:ptCount val="1"/>
                      <c:pt idx="0">
                        <c:v>Code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Report!$AM$11:$AN$11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0.15424858032962652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D89-44FE-AD2A-B464F37840DD}"/>
                  </c:ext>
                </c:extLst>
              </c15:ser>
            </c15:filteredLineSeries>
            <c15:filteredLine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Report!$AL$12</c15:sqref>
                        </c15:formulaRef>
                      </c:ext>
                    </c:extLst>
                    <c:strCache>
                      <c:ptCount val="1"/>
                      <c:pt idx="0">
                        <c:v>Q&amp;A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Report!$AM$12:$AN$12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0.11570158448926859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D89-44FE-AD2A-B464F37840DD}"/>
                  </c:ext>
                </c:extLst>
              </c15:ser>
            </c15:filteredLineSeries>
            <c15:filteredLine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Report!$AL$13</c15:sqref>
                        </c15:formulaRef>
                      </c:ext>
                    </c:extLst>
                    <c:strCache>
                      <c:ptCount val="1"/>
                      <c:pt idx="0">
                        <c:v>Contest</c:v>
                      </c:pt>
                    </c:strCache>
                  </c:strRef>
                </c:tx>
                <c:spPr>
                  <a:ln w="12700" cap="rnd">
                    <a:solidFill>
                      <a:schemeClr val="bg1">
                        <a:lumMod val="6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bg1">
                        <a:lumMod val="65000"/>
                      </a:schemeClr>
                    </a:solidFill>
                    <a:ln w="9525">
                      <a:solidFill>
                        <a:schemeClr val="bg1">
                          <a:lumMod val="65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BD89-44FE-AD2A-B464F37840D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1"/>
                  <c:showPercent val="0"/>
                  <c:showBubbleSize val="0"/>
                  <c:separator> </c:separator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Report!$AM$3:$AN$3</c15:sqref>
                        </c15:formulaRef>
                      </c:ext>
                    </c:extLst>
                    <c:strCache>
                      <c:ptCount val="2"/>
                      <c:pt idx="0">
                        <c:v>Control</c:v>
                      </c:pt>
                      <c:pt idx="1">
                        <c:v>Treatment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Report!$AM$13:$AN$13</c15:sqref>
                        </c15:formulaRef>
                      </c:ext>
                    </c:extLst>
                    <c:numCache>
                      <c:formatCode>0%</c:formatCode>
                      <c:ptCount val="2"/>
                      <c:pt idx="0">
                        <c:v>0</c:v>
                      </c:pt>
                      <c:pt idx="1">
                        <c:v>4.8963186745540233E-2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D89-44FE-AD2A-B464F37840DD}"/>
                  </c:ext>
                </c:extLst>
              </c15:ser>
            </c15:filteredLineSeries>
          </c:ext>
        </c:extLst>
      </c:lineChart>
      <c:catAx>
        <c:axId val="35328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479375"/>
        <c:crosses val="autoZero"/>
        <c:auto val="1"/>
        <c:lblAlgn val="ctr"/>
        <c:lblOffset val="100"/>
        <c:noMultiLvlLbl val="0"/>
      </c:catAx>
      <c:valAx>
        <c:axId val="3747937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35328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198576</xdr:colOff>
      <xdr:row>2</xdr:row>
      <xdr:rowOff>795</xdr:rowOff>
    </xdr:from>
    <xdr:to>
      <xdr:col>18</xdr:col>
      <xdr:colOff>435429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EDA37A-DD91-45A1-9090-5637BF088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236853</xdr:colOff>
      <xdr:row>32</xdr:row>
      <xdr:rowOff>189705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EA4094-9DF1-4A24-B89E-4FA819B5AB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5"/>
  <sheetViews>
    <sheetView tabSelected="1" zoomScale="80" zoomScaleNormal="80" workbookViewId="0">
      <selection activeCell="B34" sqref="B34"/>
    </sheetView>
  </sheetViews>
  <sheetFormatPr defaultRowHeight="14.4" x14ac:dyDescent="0.3"/>
  <cols>
    <col min="1" max="1" width="2.77734375" customWidth="1"/>
    <col min="2" max="2" width="19" customWidth="1"/>
    <col min="3" max="3" width="1" style="42" customWidth="1"/>
    <col min="4" max="5" width="13" customWidth="1"/>
    <col min="6" max="6" width="8" bestFit="1" customWidth="1"/>
    <col min="7" max="7" width="1" style="42" customWidth="1"/>
    <col min="8" max="8" width="17" bestFit="1" customWidth="1"/>
    <col min="9" max="9" width="15.33203125" customWidth="1"/>
    <col min="10" max="10" width="8" bestFit="1" customWidth="1"/>
    <col min="11" max="11" width="6.5546875" bestFit="1" customWidth="1"/>
    <col min="38" max="38" width="10.44140625" bestFit="1" customWidth="1"/>
    <col min="39" max="39" width="10.5546875" bestFit="1" customWidth="1"/>
    <col min="40" max="40" width="14.44140625" bestFit="1" customWidth="1"/>
  </cols>
  <sheetData>
    <row r="1" spans="1:42" x14ac:dyDescent="0.3">
      <c r="A1" s="10"/>
      <c r="B1" s="10"/>
      <c r="C1" s="40"/>
      <c r="D1" s="10"/>
      <c r="E1" s="10"/>
      <c r="F1" s="10"/>
      <c r="G1" s="4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 ht="28.2" customHeight="1" x14ac:dyDescent="0.4">
      <c r="A2" s="10"/>
      <c r="C2" s="44"/>
      <c r="D2" s="56" t="s">
        <v>36</v>
      </c>
      <c r="E2" s="56"/>
      <c r="F2" s="56"/>
      <c r="G2" s="45"/>
      <c r="H2" s="56" t="s">
        <v>37</v>
      </c>
      <c r="I2" s="56"/>
      <c r="J2" s="56"/>
      <c r="K2" s="56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 ht="41.4" customHeight="1" x14ac:dyDescent="0.3">
      <c r="A3" s="10"/>
      <c r="B3" s="39" t="s">
        <v>0</v>
      </c>
      <c r="C3" s="43"/>
      <c r="D3" s="46" t="s">
        <v>5</v>
      </c>
      <c r="E3" s="47" t="s">
        <v>6</v>
      </c>
      <c r="F3" s="48" t="s">
        <v>11</v>
      </c>
      <c r="G3" s="43"/>
      <c r="H3" s="46" t="s">
        <v>5</v>
      </c>
      <c r="I3" s="46" t="s">
        <v>6</v>
      </c>
      <c r="J3" s="48" t="s">
        <v>11</v>
      </c>
      <c r="K3" s="48" t="s">
        <v>20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1" t="s">
        <v>5</v>
      </c>
      <c r="AN3" s="11" t="s">
        <v>6</v>
      </c>
      <c r="AO3" s="10"/>
      <c r="AP3" s="10"/>
    </row>
    <row r="4" spans="1:42" x14ac:dyDescent="0.3">
      <c r="A4" s="10"/>
      <c r="B4" s="1" t="s">
        <v>1</v>
      </c>
      <c r="C4" s="44"/>
      <c r="D4" s="2">
        <f>Input!B6</f>
        <v>16468</v>
      </c>
      <c r="E4" s="2">
        <f>Input!H6</f>
        <v>16561</v>
      </c>
      <c r="F4" s="3"/>
      <c r="G4" s="44"/>
      <c r="H4" s="44"/>
      <c r="I4" s="44"/>
      <c r="J4" s="44"/>
      <c r="K4" s="44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" t="s">
        <v>1</v>
      </c>
      <c r="AM4" s="2">
        <f>H4</f>
        <v>0</v>
      </c>
      <c r="AN4" s="2">
        <f>I4</f>
        <v>0</v>
      </c>
      <c r="AO4" s="10"/>
      <c r="AP4" s="10"/>
    </row>
    <row r="5" spans="1:42" ht="7.2" customHeight="1" x14ac:dyDescent="0.3">
      <c r="A5" s="10"/>
      <c r="B5" s="10"/>
      <c r="C5" s="40"/>
      <c r="D5" s="10"/>
      <c r="E5" s="10"/>
      <c r="F5" s="10"/>
      <c r="G5" s="4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6" t="s">
        <v>0</v>
      </c>
      <c r="AM5" s="2"/>
      <c r="AN5" s="2"/>
      <c r="AO5" s="10"/>
      <c r="AP5" s="10"/>
    </row>
    <row r="6" spans="1:42" x14ac:dyDescent="0.3">
      <c r="A6" s="10"/>
      <c r="B6" s="9" t="s">
        <v>2</v>
      </c>
      <c r="C6" s="41"/>
      <c r="D6" s="50">
        <f>Input!C8</f>
        <v>1</v>
      </c>
      <c r="E6" s="51">
        <f>Input!I8</f>
        <v>1</v>
      </c>
      <c r="F6" s="54">
        <f>E6/D6-1</f>
        <v>0</v>
      </c>
      <c r="G6" s="41"/>
      <c r="H6" s="5">
        <f>Input!B8</f>
        <v>6.3405392275929078</v>
      </c>
      <c r="I6" s="5">
        <f>Input!H8</f>
        <v>6.313749169736127</v>
      </c>
      <c r="J6" s="37">
        <f>I6/H6-1</f>
        <v>-4.2252018156744287E-3</v>
      </c>
      <c r="K6" s="28" t="str">
        <f>Input!Q8</f>
        <v>---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 t="str">
        <f>B6</f>
        <v>Checkins</v>
      </c>
      <c r="AM6" s="33">
        <f>H6/$H6-1</f>
        <v>0</v>
      </c>
      <c r="AN6" s="33">
        <f>I6/$H6-1</f>
        <v>-4.2252018156744287E-3</v>
      </c>
      <c r="AO6" s="10"/>
      <c r="AP6" s="10"/>
    </row>
    <row r="7" spans="1:42" ht="8.4" customHeight="1" x14ac:dyDescent="0.3">
      <c r="A7" s="10"/>
      <c r="B7" s="7"/>
      <c r="C7" s="41"/>
      <c r="D7" s="52"/>
      <c r="E7" s="53"/>
      <c r="F7" s="55"/>
      <c r="G7" s="41"/>
      <c r="H7" s="8"/>
      <c r="I7" s="8"/>
      <c r="J7" s="38"/>
      <c r="K7" s="29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7"/>
      <c r="AM7" s="36"/>
      <c r="AN7" s="8"/>
      <c r="AO7" s="10"/>
      <c r="AP7" s="10"/>
    </row>
    <row r="8" spans="1:42" x14ac:dyDescent="0.3">
      <c r="A8" s="10"/>
      <c r="B8" s="4" t="s">
        <v>22</v>
      </c>
      <c r="C8" s="41"/>
      <c r="D8" s="50">
        <f>Input!C10</f>
        <v>0.90788195287830942</v>
      </c>
      <c r="E8" s="51">
        <f>Input!I10</f>
        <v>0.90465551597125782</v>
      </c>
      <c r="F8" s="54">
        <f t="shared" ref="F8:F17" si="0">E8/D8-1</f>
        <v>-3.5538066340261576E-3</v>
      </c>
      <c r="G8" s="41"/>
      <c r="H8" s="5">
        <f>Input!B10</f>
        <v>29.114342968180715</v>
      </c>
      <c r="I8" s="5">
        <f>Input!H10</f>
        <v>29.288026085381318</v>
      </c>
      <c r="J8" s="37">
        <f t="shared" ref="J8:J13" si="1">I8/H8-1</f>
        <v>5.9655516660781505E-3</v>
      </c>
      <c r="K8" s="28" t="str">
        <f>Input!Q10</f>
        <v>---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4" t="str">
        <f t="shared" ref="AL8:AL13" si="2">B8</f>
        <v>Lessons</v>
      </c>
      <c r="AM8" s="33">
        <f t="shared" ref="AM8:AM13" si="3">H8/$H8-1</f>
        <v>0</v>
      </c>
      <c r="AN8" s="33">
        <f t="shared" ref="AN8:AN13" si="4">I8/$H8-1</f>
        <v>5.9655516660781505E-3</v>
      </c>
      <c r="AO8" s="10"/>
      <c r="AP8" s="10"/>
    </row>
    <row r="9" spans="1:42" x14ac:dyDescent="0.3">
      <c r="A9" s="10"/>
      <c r="B9" s="4" t="s">
        <v>26</v>
      </c>
      <c r="C9" s="41"/>
      <c r="D9" s="50">
        <f>Input!C11</f>
        <v>0.38310663104202086</v>
      </c>
      <c r="E9" s="51">
        <f>Input!I11</f>
        <v>0.37183744942938229</v>
      </c>
      <c r="F9" s="54">
        <f t="shared" si="0"/>
        <v>-2.941526118195148E-2</v>
      </c>
      <c r="G9" s="41"/>
      <c r="H9" s="5">
        <f>Input!B11</f>
        <v>1.9485669176584892</v>
      </c>
      <c r="I9" s="5">
        <f>Input!H11</f>
        <v>1.9792283074693557</v>
      </c>
      <c r="J9" s="37">
        <f t="shared" si="1"/>
        <v>1.5735353778720151E-2</v>
      </c>
      <c r="K9" s="28" t="str">
        <f>Input!Q11</f>
        <v>---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4" t="str">
        <f t="shared" si="2"/>
        <v>UserLesson</v>
      </c>
      <c r="AM9" s="33">
        <f t="shared" si="3"/>
        <v>0</v>
      </c>
      <c r="AN9" s="33">
        <f t="shared" si="4"/>
        <v>1.5735353778720151E-2</v>
      </c>
      <c r="AO9" s="10"/>
      <c r="AP9" s="10"/>
    </row>
    <row r="10" spans="1:42" x14ac:dyDescent="0.3">
      <c r="A10" s="10"/>
      <c r="B10" s="4" t="s">
        <v>25</v>
      </c>
      <c r="C10" s="41"/>
      <c r="D10" s="50">
        <f>Input!C12</f>
        <v>0.60675248967694928</v>
      </c>
      <c r="E10" s="51">
        <f>Input!I12</f>
        <v>0.73413441217317799</v>
      </c>
      <c r="F10" s="54">
        <f t="shared" si="0"/>
        <v>0.20994050236868445</v>
      </c>
      <c r="G10" s="41"/>
      <c r="H10" s="5">
        <f>Input!B12</f>
        <v>5.2482997328151564</v>
      </c>
      <c r="I10" s="5">
        <f>Input!H12</f>
        <v>7.4366886057605219</v>
      </c>
      <c r="J10" s="37">
        <f t="shared" si="1"/>
        <v>0.41697101620595256</v>
      </c>
      <c r="K10" s="28" t="str">
        <f>Input!Q12</f>
        <v>***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4" t="str">
        <f t="shared" si="2"/>
        <v>Post</v>
      </c>
      <c r="AM10" s="33">
        <f t="shared" si="3"/>
        <v>0</v>
      </c>
      <c r="AN10" s="33">
        <f t="shared" si="4"/>
        <v>0.41697101620595256</v>
      </c>
      <c r="AO10" s="10"/>
      <c r="AP10" s="10"/>
    </row>
    <row r="11" spans="1:42" x14ac:dyDescent="0.3">
      <c r="A11" s="10"/>
      <c r="B11" s="4" t="s">
        <v>24</v>
      </c>
      <c r="C11" s="41"/>
      <c r="D11" s="50">
        <f>Input!C13</f>
        <v>0.32050036434296819</v>
      </c>
      <c r="E11" s="51">
        <f>Input!I13</f>
        <v>0.32365195338445746</v>
      </c>
      <c r="F11" s="54">
        <f t="shared" si="0"/>
        <v>9.8333399649952469E-3</v>
      </c>
      <c r="G11" s="41"/>
      <c r="H11" s="5">
        <f>Input!B13</f>
        <v>3.5595700752975468</v>
      </c>
      <c r="I11" s="5">
        <f>Input!H13</f>
        <v>4.1086287059960149</v>
      </c>
      <c r="J11" s="37">
        <f t="shared" si="1"/>
        <v>0.15424858032962652</v>
      </c>
      <c r="K11" s="28" t="str">
        <f>Input!Q13</f>
        <v>*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34" t="str">
        <f t="shared" si="2"/>
        <v>Code</v>
      </c>
      <c r="AM11" s="33">
        <f t="shared" si="3"/>
        <v>0</v>
      </c>
      <c r="AN11" s="33">
        <f t="shared" si="4"/>
        <v>0.15424858032962652</v>
      </c>
      <c r="AO11" s="10"/>
      <c r="AP11" s="10"/>
    </row>
    <row r="12" spans="1:42" x14ac:dyDescent="0.3">
      <c r="A12" s="10"/>
      <c r="B12" s="4" t="s">
        <v>23</v>
      </c>
      <c r="C12" s="41"/>
      <c r="D12" s="50">
        <f>Input!C14</f>
        <v>0.2275929074568861</v>
      </c>
      <c r="E12" s="51">
        <f>Input!I14</f>
        <v>0.2228730149145583</v>
      </c>
      <c r="F12" s="54">
        <f t="shared" si="0"/>
        <v>-2.0738311202522453E-2</v>
      </c>
      <c r="G12" s="41"/>
      <c r="H12" s="5">
        <f>Input!B14</f>
        <v>0.57985183385960648</v>
      </c>
      <c r="I12" s="5">
        <f>Input!H14</f>
        <v>0.6469416098061711</v>
      </c>
      <c r="J12" s="37">
        <f t="shared" si="1"/>
        <v>0.11570158448926859</v>
      </c>
      <c r="K12" s="28" t="str">
        <f>Input!Q14</f>
        <v>---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34" t="str">
        <f t="shared" si="2"/>
        <v>Q&amp;A</v>
      </c>
      <c r="AM12" s="33">
        <f t="shared" si="3"/>
        <v>0</v>
      </c>
      <c r="AN12" s="33">
        <f t="shared" si="4"/>
        <v>0.11570158448926859</v>
      </c>
      <c r="AO12" s="10"/>
      <c r="AP12" s="10"/>
    </row>
    <row r="13" spans="1:42" x14ac:dyDescent="0.3">
      <c r="A13" s="10"/>
      <c r="B13" s="4" t="s">
        <v>3</v>
      </c>
      <c r="C13" s="41"/>
      <c r="D13" s="50">
        <f>Input!C15</f>
        <v>0.26390575661889726</v>
      </c>
      <c r="E13" s="51">
        <f>Input!I15</f>
        <v>0.25916309401606186</v>
      </c>
      <c r="F13" s="54">
        <f t="shared" si="0"/>
        <v>-1.797104642050007E-2</v>
      </c>
      <c r="G13" s="41"/>
      <c r="H13" s="5">
        <f>Input!B15</f>
        <v>2.2303862035462716</v>
      </c>
      <c r="I13" s="5">
        <f>Input!H15</f>
        <v>2.3395930197451844</v>
      </c>
      <c r="J13" s="37">
        <f t="shared" si="1"/>
        <v>4.8963186745540233E-2</v>
      </c>
      <c r="K13" s="28" t="str">
        <f>Input!Q15</f>
        <v>---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34" t="str">
        <f t="shared" si="2"/>
        <v>Contest</v>
      </c>
      <c r="AM13" s="33">
        <f t="shared" si="3"/>
        <v>0</v>
      </c>
      <c r="AN13" s="33">
        <f t="shared" si="4"/>
        <v>4.8963186745540233E-2</v>
      </c>
      <c r="AO13" s="10"/>
      <c r="AP13" s="10"/>
    </row>
    <row r="14" spans="1:42" x14ac:dyDescent="0.3">
      <c r="A14" s="10"/>
      <c r="B14" s="4" t="s">
        <v>30</v>
      </c>
      <c r="C14" s="41"/>
      <c r="D14" s="50">
        <f>Input!C16</f>
        <v>0.24908914257954823</v>
      </c>
      <c r="E14" s="51">
        <f>Input!I16</f>
        <v>0.24593925487591328</v>
      </c>
      <c r="F14" s="54">
        <f t="shared" si="0"/>
        <v>-1.2645624257303867E-2</v>
      </c>
      <c r="G14" s="41"/>
      <c r="H14" s="5">
        <f>Input!B16</f>
        <v>1.3846854505708039</v>
      </c>
      <c r="I14" s="5">
        <f>Input!H16</f>
        <v>1.5823923676106515</v>
      </c>
      <c r="J14" s="37">
        <f t="shared" ref="J14:J17" si="5">I14/H14-1</f>
        <v>0.14278110379389597</v>
      </c>
      <c r="K14" s="28" t="str">
        <f>Input!Q16</f>
        <v>---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34" t="str">
        <f t="shared" ref="AL14:AL17" si="6">B14</f>
        <v>Profile</v>
      </c>
      <c r="AM14" s="33">
        <f t="shared" ref="AM14:AM17" si="7">H14/$H14-1</f>
        <v>0</v>
      </c>
      <c r="AN14" s="33">
        <f t="shared" ref="AN14:AN17" si="8">I14/$H14-1</f>
        <v>0.14278110379389597</v>
      </c>
      <c r="AO14" s="10"/>
      <c r="AP14" s="10"/>
    </row>
    <row r="15" spans="1:42" x14ac:dyDescent="0.3">
      <c r="A15" s="10"/>
      <c r="B15" s="4" t="s">
        <v>31</v>
      </c>
      <c r="C15" s="41"/>
      <c r="D15" s="50">
        <f>Input!C17</f>
        <v>0.47455671605538013</v>
      </c>
      <c r="E15" s="51">
        <f>Input!I17</f>
        <v>0.4677253789022402</v>
      </c>
      <c r="F15" s="54">
        <f t="shared" si="0"/>
        <v>-1.439519644758902E-2</v>
      </c>
      <c r="G15" s="41"/>
      <c r="H15" s="5">
        <f>Input!B17</f>
        <v>2.3615496720913285</v>
      </c>
      <c r="I15" s="5">
        <f>Input!H17</f>
        <v>2.4260008453595798</v>
      </c>
      <c r="J15" s="37">
        <f t="shared" si="5"/>
        <v>2.7291898209862664E-2</v>
      </c>
      <c r="K15" s="28" t="str">
        <f>Input!Q17</f>
        <v>---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34" t="str">
        <f t="shared" si="6"/>
        <v>Own profile</v>
      </c>
      <c r="AM15" s="33">
        <f t="shared" si="7"/>
        <v>0</v>
      </c>
      <c r="AN15" s="33">
        <f t="shared" si="8"/>
        <v>2.7291898209862664E-2</v>
      </c>
      <c r="AO15" s="10"/>
      <c r="AP15" s="10"/>
    </row>
    <row r="16" spans="1:42" x14ac:dyDescent="0.3">
      <c r="A16" s="10"/>
      <c r="B16" s="4" t="s">
        <v>33</v>
      </c>
      <c r="C16" s="41"/>
      <c r="D16" s="50">
        <f>Input!C18</f>
        <v>0.99769249453485542</v>
      </c>
      <c r="E16" s="51">
        <f>Input!I18</f>
        <v>0.99770545256928933</v>
      </c>
      <c r="F16" s="54">
        <f t="shared" si="0"/>
        <v>1.2988004324920865E-5</v>
      </c>
      <c r="G16" s="41"/>
      <c r="H16" s="5">
        <f>Input!B18</f>
        <v>1.8563274228807385</v>
      </c>
      <c r="I16" s="5">
        <f>Input!H18</f>
        <v>1.8991002958758529</v>
      </c>
      <c r="J16" s="37">
        <f t="shared" si="5"/>
        <v>2.3041664130963202E-2</v>
      </c>
      <c r="K16" s="28" t="str">
        <f>Input!Q18</f>
        <v>---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34" t="str">
        <f t="shared" si="6"/>
        <v>Followed to the user</v>
      </c>
      <c r="AM16" s="33">
        <f t="shared" si="7"/>
        <v>0</v>
      </c>
      <c r="AN16" s="33">
        <f t="shared" si="8"/>
        <v>2.3041664130963202E-2</v>
      </c>
      <c r="AO16" s="10"/>
      <c r="AP16" s="10"/>
    </row>
    <row r="17" spans="1:42" x14ac:dyDescent="0.3">
      <c r="A17" s="10"/>
      <c r="B17" s="4" t="s">
        <v>32</v>
      </c>
      <c r="C17" s="41"/>
      <c r="D17" s="50">
        <f>Input!C19</f>
        <v>0.13389604080641243</v>
      </c>
      <c r="E17" s="51">
        <f>Input!I19</f>
        <v>0.13404987621520439</v>
      </c>
      <c r="F17" s="54">
        <f t="shared" si="0"/>
        <v>1.1489167854812354E-3</v>
      </c>
      <c r="G17" s="41"/>
      <c r="H17" s="5">
        <f>Input!B19</f>
        <v>0.32104687879523924</v>
      </c>
      <c r="I17" s="5">
        <f>Input!H19</f>
        <v>0.38663124207475397</v>
      </c>
      <c r="J17" s="37">
        <f t="shared" si="5"/>
        <v>0.20428282475639281</v>
      </c>
      <c r="K17" s="28" t="str">
        <f>Input!Q19</f>
        <v>---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34" t="str">
        <f t="shared" si="6"/>
        <v>Followed by the user</v>
      </c>
      <c r="AM17" s="33">
        <f t="shared" si="7"/>
        <v>0</v>
      </c>
      <c r="AN17" s="33">
        <f t="shared" si="8"/>
        <v>0.20428282475639281</v>
      </c>
      <c r="AO17" s="10"/>
      <c r="AP17" s="10"/>
    </row>
    <row r="18" spans="1:42" ht="8.4" customHeight="1" x14ac:dyDescent="0.3">
      <c r="A18" s="10"/>
      <c r="B18" s="7"/>
      <c r="C18" s="41"/>
      <c r="D18" s="52"/>
      <c r="E18" s="53"/>
      <c r="F18" s="55"/>
      <c r="G18" s="41"/>
      <c r="H18" s="8"/>
      <c r="I18" s="8"/>
      <c r="J18" s="38"/>
      <c r="K18" s="29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7"/>
      <c r="AM18" s="36"/>
      <c r="AN18" s="8"/>
      <c r="AO18" s="10"/>
      <c r="AP18" s="10"/>
    </row>
    <row r="19" spans="1:42" x14ac:dyDescent="0.3">
      <c r="A19" s="10"/>
      <c r="B19" s="9" t="str">
        <f>Input!A21</f>
        <v>Learn (L+UL)</v>
      </c>
      <c r="C19" s="41"/>
      <c r="D19" s="50">
        <f>Input!C21</f>
        <v>0.92931746417294148</v>
      </c>
      <c r="E19" s="51">
        <f>Input!I21</f>
        <v>0.92470261457641445</v>
      </c>
      <c r="F19" s="54">
        <f t="shared" ref="F19:F23" si="9">E19/D19-1</f>
        <v>-4.9658483504709805E-3</v>
      </c>
      <c r="G19" s="41"/>
      <c r="H19" s="5">
        <f>Input!B21</f>
        <v>31.062909885839204</v>
      </c>
      <c r="I19" s="5">
        <f>Input!H21</f>
        <v>31.267254392850674</v>
      </c>
      <c r="J19" s="37">
        <f t="shared" ref="J19:J23" si="10">I19/H19-1</f>
        <v>6.5784083900208845E-3</v>
      </c>
      <c r="K19" s="28" t="str">
        <f>Input!Q21</f>
        <v>---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35" t="s">
        <v>7</v>
      </c>
      <c r="AM19" s="33">
        <f t="shared" ref="AM19:AM23" si="11">H19/$H19-1</f>
        <v>0</v>
      </c>
      <c r="AN19" s="33">
        <f t="shared" ref="AN19:AN23" si="12">I19/$H19-1</f>
        <v>6.5784083900208845E-3</v>
      </c>
      <c r="AO19" s="10"/>
      <c r="AP19" s="10"/>
    </row>
    <row r="20" spans="1:42" x14ac:dyDescent="0.3">
      <c r="A20" s="10"/>
      <c r="B20" s="9" t="str">
        <f>Input!A22</f>
        <v>Social_1 (UC, UP, DP)</v>
      </c>
      <c r="C20" s="41"/>
      <c r="D20" s="50">
        <f>Input!C22</f>
        <v>0.70743259655088653</v>
      </c>
      <c r="E20" s="51">
        <f>Input!I22</f>
        <v>0.79530221604975548</v>
      </c>
      <c r="F20" s="54">
        <f t="shared" si="9"/>
        <v>0.12420917544269305</v>
      </c>
      <c r="G20" s="41"/>
      <c r="H20" s="5">
        <f>Input!B22</f>
        <v>9.3877216419723091</v>
      </c>
      <c r="I20" s="5">
        <f>Input!H22</f>
        <v>12.192258921562708</v>
      </c>
      <c r="J20" s="37">
        <f t="shared" si="10"/>
        <v>0.29874525327331503</v>
      </c>
      <c r="K20" s="28" t="str">
        <f>Input!Q22</f>
        <v>***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9" t="s">
        <v>8</v>
      </c>
      <c r="AM20" s="33">
        <f t="shared" si="11"/>
        <v>0</v>
      </c>
      <c r="AN20" s="33">
        <f t="shared" si="12"/>
        <v>0.29874525327331503</v>
      </c>
      <c r="AO20" s="10"/>
      <c r="AP20" s="10"/>
    </row>
    <row r="21" spans="1:42" x14ac:dyDescent="0.3">
      <c r="A21" s="10"/>
      <c r="B21" s="9" t="str">
        <f>Input!A23</f>
        <v>Social_2 (P, OP, CP)</v>
      </c>
      <c r="C21" s="41"/>
      <c r="D21" s="50">
        <f>Input!C23</f>
        <v>0.53066553315521015</v>
      </c>
      <c r="E21" s="51">
        <f>Input!I23</f>
        <v>0.52339834551053677</v>
      </c>
      <c r="F21" s="54">
        <f t="shared" si="9"/>
        <v>-1.3694478330756543E-2</v>
      </c>
      <c r="G21" s="41"/>
      <c r="H21" s="5">
        <f>Input!B23</f>
        <v>3.7462351226621324</v>
      </c>
      <c r="I21" s="5">
        <f>Input!H23</f>
        <v>4.0083932129702315</v>
      </c>
      <c r="J21" s="37">
        <f t="shared" si="10"/>
        <v>6.997908079026427E-2</v>
      </c>
      <c r="K21" s="28" t="str">
        <f>Input!Q23</f>
        <v>---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35" t="s">
        <v>9</v>
      </c>
      <c r="AM21" s="33">
        <f t="shared" si="11"/>
        <v>0</v>
      </c>
      <c r="AN21" s="33">
        <f t="shared" si="12"/>
        <v>6.997908079026427E-2</v>
      </c>
      <c r="AO21" s="10"/>
      <c r="AP21" s="10"/>
    </row>
    <row r="22" spans="1:42" x14ac:dyDescent="0.3">
      <c r="A22" s="10"/>
      <c r="B22" s="9" t="s">
        <v>4</v>
      </c>
      <c r="C22" s="41"/>
      <c r="D22" s="50">
        <f>Input!C24</f>
        <v>0.79390332766577609</v>
      </c>
      <c r="E22" s="51">
        <f>Input!I24</f>
        <v>0.83871746875188702</v>
      </c>
      <c r="F22" s="54">
        <f t="shared" si="9"/>
        <v>5.6447856463674118E-2</v>
      </c>
      <c r="G22" s="41"/>
      <c r="H22" s="5">
        <f>Input!B24</f>
        <v>13.133956764634442</v>
      </c>
      <c r="I22" s="5">
        <f>Input!H24</f>
        <v>16.200652134532938</v>
      </c>
      <c r="J22" s="37">
        <f t="shared" si="10"/>
        <v>0.23349363979605342</v>
      </c>
      <c r="K22" s="28" t="str">
        <f>Input!Q24</f>
        <v>***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35" t="s">
        <v>4</v>
      </c>
      <c r="AM22" s="33">
        <f t="shared" si="11"/>
        <v>0</v>
      </c>
      <c r="AN22" s="33">
        <f t="shared" si="12"/>
        <v>0.23349363979605342</v>
      </c>
      <c r="AO22" s="10"/>
      <c r="AP22" s="10"/>
    </row>
    <row r="23" spans="1:42" x14ac:dyDescent="0.3">
      <c r="A23" s="10"/>
      <c r="B23" s="9" t="s">
        <v>10</v>
      </c>
      <c r="C23" s="41"/>
      <c r="D23" s="50">
        <f>Input!C25</f>
        <v>0.97583191644401268</v>
      </c>
      <c r="E23" s="51">
        <f>Input!I25</f>
        <v>0.97536380653342192</v>
      </c>
      <c r="F23" s="54">
        <f t="shared" si="9"/>
        <v>-4.7970342299996638E-4</v>
      </c>
      <c r="G23" s="41"/>
      <c r="H23" s="5">
        <f>Input!B25</f>
        <v>44.196866650473645</v>
      </c>
      <c r="I23" s="5">
        <f>Input!H25</f>
        <v>47.467906527383612</v>
      </c>
      <c r="J23" s="37">
        <f t="shared" si="10"/>
        <v>7.4010673715370956E-2</v>
      </c>
      <c r="K23" s="28" t="str">
        <f>Input!Q25</f>
        <v>**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9" t="s">
        <v>10</v>
      </c>
      <c r="AM23" s="33">
        <f t="shared" si="11"/>
        <v>0</v>
      </c>
      <c r="AN23" s="33">
        <f t="shared" si="12"/>
        <v>7.4010673715370956E-2</v>
      </c>
      <c r="AO23" s="10"/>
      <c r="AP23" s="10"/>
    </row>
    <row r="24" spans="1:42" x14ac:dyDescent="0.3">
      <c r="A24" s="10"/>
      <c r="B24" s="10"/>
      <c r="C24" s="40"/>
      <c r="D24" s="10"/>
      <c r="E24" s="10"/>
      <c r="F24" s="10"/>
      <c r="G24" s="4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spans="1:42" x14ac:dyDescent="0.3">
      <c r="A25" s="10"/>
      <c r="B25" s="10"/>
      <c r="C25" s="40"/>
      <c r="D25" s="10"/>
      <c r="E25" s="10"/>
      <c r="F25" s="10"/>
      <c r="G25" s="4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4.4" customHeight="1" x14ac:dyDescent="0.3">
      <c r="A26" s="10"/>
      <c r="B26" s="57" t="s">
        <v>39</v>
      </c>
      <c r="C26" s="57"/>
      <c r="D26" s="57"/>
      <c r="E26" s="57"/>
      <c r="F26" s="57"/>
      <c r="G26" s="49"/>
      <c r="H26" s="57" t="s">
        <v>38</v>
      </c>
      <c r="I26" s="57"/>
      <c r="J26" s="57"/>
      <c r="K26" s="57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x14ac:dyDescent="0.3">
      <c r="A27" s="10"/>
      <c r="B27" s="57"/>
      <c r="C27" s="57"/>
      <c r="D27" s="57"/>
      <c r="E27" s="57"/>
      <c r="F27" s="57"/>
      <c r="G27" s="49"/>
      <c r="H27" s="57"/>
      <c r="I27" s="57"/>
      <c r="J27" s="57"/>
      <c r="K27" s="57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x14ac:dyDescent="0.3">
      <c r="A28" s="10"/>
      <c r="B28" s="57"/>
      <c r="C28" s="57"/>
      <c r="D28" s="57"/>
      <c r="E28" s="57"/>
      <c r="F28" s="57"/>
      <c r="G28" s="49"/>
      <c r="H28" s="57"/>
      <c r="I28" s="57"/>
      <c r="J28" s="57"/>
      <c r="K28" s="57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</row>
    <row r="29" spans="1:42" x14ac:dyDescent="0.3">
      <c r="A29" s="10"/>
      <c r="B29" s="57"/>
      <c r="C29" s="57"/>
      <c r="D29" s="57"/>
      <c r="E29" s="57"/>
      <c r="F29" s="57"/>
      <c r="G29" s="49"/>
      <c r="H29" s="57"/>
      <c r="I29" s="57"/>
      <c r="J29" s="57"/>
      <c r="K29" s="57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</row>
    <row r="30" spans="1:42" x14ac:dyDescent="0.3">
      <c r="A30" s="10"/>
      <c r="B30" s="57"/>
      <c r="C30" s="57"/>
      <c r="D30" s="57"/>
      <c r="E30" s="57"/>
      <c r="F30" s="57"/>
      <c r="G30" s="49"/>
      <c r="H30" s="57"/>
      <c r="I30" s="57"/>
      <c r="J30" s="57"/>
      <c r="K30" s="57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</row>
    <row r="31" spans="1:42" x14ac:dyDescent="0.3">
      <c r="A31" s="10"/>
      <c r="B31" s="57"/>
      <c r="C31" s="57"/>
      <c r="D31" s="57"/>
      <c r="E31" s="57"/>
      <c r="F31" s="57"/>
      <c r="G31" s="49"/>
      <c r="H31" s="57"/>
      <c r="I31" s="57"/>
      <c r="J31" s="57"/>
      <c r="K31" s="57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x14ac:dyDescent="0.3">
      <c r="A32" s="10"/>
      <c r="B32" s="57"/>
      <c r="C32" s="57"/>
      <c r="D32" s="57"/>
      <c r="E32" s="57"/>
      <c r="F32" s="57"/>
      <c r="G32" s="49"/>
      <c r="H32" s="57"/>
      <c r="I32" s="57"/>
      <c r="J32" s="57"/>
      <c r="K32" s="57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x14ac:dyDescent="0.3">
      <c r="A33" s="10"/>
      <c r="B33" s="57"/>
      <c r="C33" s="57"/>
      <c r="D33" s="57"/>
      <c r="E33" s="57"/>
      <c r="F33" s="57"/>
      <c r="G33" s="49"/>
      <c r="H33" s="57"/>
      <c r="I33" s="57"/>
      <c r="J33" s="57"/>
      <c r="K33" s="57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x14ac:dyDescent="0.3">
      <c r="A34" s="10"/>
      <c r="B34" s="10"/>
      <c r="C34" s="40"/>
      <c r="D34" s="10"/>
      <c r="E34" s="10"/>
      <c r="F34" s="10"/>
      <c r="G34" s="4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x14ac:dyDescent="0.3">
      <c r="A35" s="10"/>
      <c r="B35" s="10"/>
      <c r="C35" s="40"/>
      <c r="D35" s="10"/>
      <c r="E35" s="10"/>
      <c r="F35" s="10"/>
      <c r="G35" s="4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x14ac:dyDescent="0.3">
      <c r="A36" s="10"/>
      <c r="B36" s="10"/>
      <c r="C36" s="40"/>
      <c r="D36" s="10"/>
      <c r="E36" s="10"/>
      <c r="F36" s="10"/>
      <c r="G36" s="4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x14ac:dyDescent="0.3">
      <c r="A37" s="10"/>
      <c r="B37" s="10"/>
      <c r="C37" s="40"/>
      <c r="D37" s="10"/>
      <c r="E37" s="10"/>
      <c r="F37" s="10"/>
      <c r="G37" s="4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1:42" x14ac:dyDescent="0.3">
      <c r="A38" s="10"/>
      <c r="B38" s="10"/>
      <c r="C38" s="40"/>
      <c r="D38" s="10"/>
      <c r="E38" s="10"/>
      <c r="F38" s="10"/>
      <c r="G38" s="4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x14ac:dyDescent="0.3">
      <c r="A39" s="10"/>
      <c r="B39" s="10"/>
      <c r="C39" s="40"/>
      <c r="D39" s="10"/>
      <c r="E39" s="10"/>
      <c r="F39" s="10"/>
      <c r="G39" s="4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x14ac:dyDescent="0.3">
      <c r="A40" s="10"/>
      <c r="B40" s="10"/>
      <c r="C40" s="40"/>
      <c r="D40" s="10"/>
      <c r="E40" s="10"/>
      <c r="F40" s="10"/>
      <c r="G40" s="4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1:42" x14ac:dyDescent="0.3">
      <c r="A41" s="10"/>
      <c r="B41" s="10"/>
      <c r="C41" s="40"/>
      <c r="D41" s="10"/>
      <c r="E41" s="10"/>
      <c r="F41" s="10"/>
      <c r="G41" s="4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1:42" x14ac:dyDescent="0.3">
      <c r="A42" s="10"/>
      <c r="B42" s="10"/>
      <c r="C42" s="40"/>
      <c r="D42" s="10"/>
      <c r="E42" s="10"/>
      <c r="F42" s="10"/>
      <c r="G42" s="4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1:42" x14ac:dyDescent="0.3">
      <c r="A43" s="10"/>
      <c r="B43" s="10"/>
      <c r="C43" s="40"/>
      <c r="D43" s="10"/>
      <c r="E43" s="10"/>
      <c r="F43" s="10"/>
      <c r="G43" s="4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1:42" x14ac:dyDescent="0.3">
      <c r="A44" s="10"/>
      <c r="B44" s="10"/>
      <c r="C44" s="40"/>
      <c r="D44" s="10"/>
      <c r="E44" s="10"/>
      <c r="F44" s="10"/>
      <c r="G44" s="4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1:42" x14ac:dyDescent="0.3">
      <c r="A45" s="10"/>
      <c r="B45" s="10"/>
      <c r="C45" s="40"/>
      <c r="D45" s="10"/>
      <c r="E45" s="10"/>
      <c r="F45" s="10"/>
      <c r="G45" s="4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</row>
    <row r="46" spans="1:42" x14ac:dyDescent="0.3">
      <c r="A46" s="10"/>
      <c r="B46" s="10"/>
      <c r="C46" s="40"/>
      <c r="D46" s="10"/>
      <c r="E46" s="10"/>
      <c r="F46" s="10"/>
      <c r="G46" s="4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x14ac:dyDescent="0.3">
      <c r="A47" s="10"/>
      <c r="B47" s="10"/>
      <c r="C47" s="40"/>
      <c r="D47" s="10"/>
      <c r="E47" s="10"/>
      <c r="F47" s="10"/>
      <c r="G47" s="4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x14ac:dyDescent="0.3">
      <c r="A48" s="10"/>
      <c r="B48" s="10"/>
      <c r="C48" s="40"/>
      <c r="D48" s="10"/>
      <c r="E48" s="10"/>
      <c r="F48" s="10"/>
      <c r="G48" s="4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x14ac:dyDescent="0.3">
      <c r="A49" s="10"/>
      <c r="B49" s="10"/>
      <c r="C49" s="40"/>
      <c r="D49" s="10"/>
      <c r="E49" s="10"/>
      <c r="F49" s="10"/>
      <c r="G49" s="4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x14ac:dyDescent="0.3">
      <c r="A50" s="10"/>
      <c r="B50" s="10"/>
      <c r="C50" s="40"/>
      <c r="D50" s="10"/>
      <c r="E50" s="10"/>
      <c r="F50" s="10"/>
      <c r="G50" s="4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x14ac:dyDescent="0.3">
      <c r="A51" s="10"/>
      <c r="B51" s="10"/>
      <c r="C51" s="40"/>
      <c r="D51" s="10"/>
      <c r="E51" s="10"/>
      <c r="F51" s="10"/>
      <c r="G51" s="4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x14ac:dyDescent="0.3">
      <c r="A52" s="10"/>
      <c r="B52" s="10"/>
      <c r="C52" s="40"/>
      <c r="D52" s="10"/>
      <c r="E52" s="10"/>
      <c r="F52" s="10"/>
      <c r="G52" s="4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x14ac:dyDescent="0.3">
      <c r="A53" s="10"/>
      <c r="B53" s="10"/>
      <c r="C53" s="40"/>
      <c r="D53" s="10"/>
      <c r="E53" s="10"/>
      <c r="F53" s="10"/>
      <c r="G53" s="4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x14ac:dyDescent="0.3">
      <c r="A54" s="10"/>
      <c r="B54" s="10"/>
      <c r="C54" s="40"/>
      <c r="D54" s="10"/>
      <c r="E54" s="10"/>
      <c r="F54" s="10"/>
      <c r="G54" s="4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x14ac:dyDescent="0.3">
      <c r="A55" s="10"/>
      <c r="B55" s="10"/>
      <c r="C55" s="40"/>
      <c r="D55" s="10"/>
      <c r="E55" s="10"/>
      <c r="F55" s="10"/>
      <c r="G55" s="4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x14ac:dyDescent="0.3">
      <c r="A56" s="10"/>
      <c r="B56" s="10"/>
      <c r="C56" s="40"/>
      <c r="D56" s="10"/>
      <c r="E56" s="10"/>
      <c r="F56" s="10"/>
      <c r="G56" s="4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x14ac:dyDescent="0.3">
      <c r="A57" s="10"/>
      <c r="B57" s="10"/>
      <c r="C57" s="40"/>
      <c r="D57" s="10"/>
      <c r="E57" s="10"/>
      <c r="F57" s="10"/>
      <c r="G57" s="4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x14ac:dyDescent="0.3">
      <c r="A58" s="10"/>
      <c r="B58" s="10"/>
      <c r="C58" s="40"/>
      <c r="D58" s="10"/>
      <c r="E58" s="10"/>
      <c r="F58" s="10"/>
      <c r="G58" s="4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x14ac:dyDescent="0.3">
      <c r="A59" s="10"/>
      <c r="B59" s="10"/>
      <c r="C59" s="40"/>
      <c r="D59" s="10"/>
      <c r="E59" s="10"/>
      <c r="F59" s="10"/>
      <c r="G59" s="4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x14ac:dyDescent="0.3">
      <c r="A60" s="10"/>
      <c r="B60" s="10"/>
      <c r="C60" s="40"/>
      <c r="D60" s="10"/>
      <c r="E60" s="10"/>
      <c r="F60" s="10"/>
      <c r="G60" s="4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x14ac:dyDescent="0.3">
      <c r="A61" s="10"/>
      <c r="B61" s="10"/>
      <c r="C61" s="40"/>
      <c r="D61" s="10"/>
      <c r="E61" s="10"/>
      <c r="F61" s="10"/>
      <c r="G61" s="4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x14ac:dyDescent="0.3">
      <c r="A62" s="10"/>
      <c r="B62" s="10"/>
      <c r="C62" s="40"/>
      <c r="D62" s="10"/>
      <c r="E62" s="10"/>
      <c r="F62" s="10"/>
      <c r="G62" s="4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x14ac:dyDescent="0.3">
      <c r="A63" s="10"/>
      <c r="B63" s="10"/>
      <c r="C63" s="40"/>
      <c r="D63" s="10"/>
      <c r="E63" s="10"/>
      <c r="F63" s="10"/>
      <c r="G63" s="4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x14ac:dyDescent="0.3">
      <c r="A64" s="10"/>
      <c r="B64" s="10"/>
      <c r="C64" s="40"/>
      <c r="D64" s="10"/>
      <c r="E64" s="10"/>
      <c r="F64" s="10"/>
      <c r="G64" s="4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x14ac:dyDescent="0.3">
      <c r="A65" s="10"/>
      <c r="B65" s="10"/>
      <c r="C65" s="40"/>
      <c r="D65" s="10"/>
      <c r="E65" s="10"/>
      <c r="F65" s="10"/>
      <c r="G65" s="4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x14ac:dyDescent="0.3">
      <c r="A66" s="10"/>
      <c r="B66" s="10"/>
      <c r="C66" s="40"/>
      <c r="D66" s="10"/>
      <c r="E66" s="10"/>
      <c r="F66" s="10"/>
      <c r="G66" s="4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x14ac:dyDescent="0.3">
      <c r="A67" s="10"/>
      <c r="B67" s="10"/>
      <c r="C67" s="40"/>
      <c r="D67" s="10"/>
      <c r="E67" s="10"/>
      <c r="F67" s="10"/>
      <c r="G67" s="4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x14ac:dyDescent="0.3">
      <c r="A68" s="10"/>
      <c r="B68" s="10"/>
      <c r="C68" s="40"/>
      <c r="D68" s="10"/>
      <c r="E68" s="10"/>
      <c r="F68" s="10"/>
      <c r="G68" s="4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x14ac:dyDescent="0.3">
      <c r="A69" s="10"/>
      <c r="B69" s="10"/>
      <c r="C69" s="40"/>
      <c r="D69" s="10"/>
      <c r="E69" s="10"/>
      <c r="F69" s="10"/>
      <c r="G69" s="4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x14ac:dyDescent="0.3">
      <c r="A70" s="10"/>
      <c r="B70" s="10"/>
      <c r="C70" s="40"/>
      <c r="D70" s="10"/>
      <c r="E70" s="10"/>
      <c r="F70" s="10"/>
      <c r="G70" s="4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  <row r="71" spans="1:42" x14ac:dyDescent="0.3">
      <c r="A71" s="10"/>
      <c r="B71" s="10"/>
      <c r="C71" s="40"/>
      <c r="D71" s="10"/>
      <c r="E71" s="10"/>
      <c r="F71" s="10"/>
      <c r="G71" s="4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</row>
    <row r="72" spans="1:42" x14ac:dyDescent="0.3">
      <c r="A72" s="10"/>
      <c r="B72" s="10"/>
      <c r="C72" s="40"/>
      <c r="D72" s="10"/>
      <c r="E72" s="10"/>
      <c r="F72" s="10"/>
      <c r="G72" s="4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x14ac:dyDescent="0.3">
      <c r="A73" s="10"/>
      <c r="B73" s="10"/>
      <c r="C73" s="40"/>
      <c r="D73" s="10"/>
      <c r="E73" s="10"/>
      <c r="F73" s="10"/>
      <c r="G73" s="4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x14ac:dyDescent="0.3">
      <c r="A74" s="10"/>
      <c r="B74" s="10"/>
      <c r="C74" s="40"/>
      <c r="D74" s="10"/>
      <c r="E74" s="10"/>
      <c r="F74" s="10"/>
      <c r="G74" s="4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x14ac:dyDescent="0.3">
      <c r="A75" s="10"/>
      <c r="B75" s="10"/>
      <c r="C75" s="40"/>
      <c r="D75" s="10"/>
      <c r="E75" s="10"/>
      <c r="F75" s="10"/>
      <c r="G75" s="4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</row>
    <row r="76" spans="1:42" x14ac:dyDescent="0.3">
      <c r="A76" s="10"/>
      <c r="B76" s="10"/>
      <c r="C76" s="40"/>
      <c r="D76" s="10"/>
      <c r="E76" s="10"/>
      <c r="F76" s="10"/>
      <c r="G76" s="4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</row>
    <row r="77" spans="1:42" x14ac:dyDescent="0.3">
      <c r="A77" s="10"/>
      <c r="B77" s="10"/>
      <c r="C77" s="40"/>
      <c r="D77" s="10"/>
      <c r="E77" s="10"/>
      <c r="F77" s="10"/>
      <c r="G77" s="4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</row>
    <row r="78" spans="1:42" x14ac:dyDescent="0.3">
      <c r="A78" s="10"/>
      <c r="B78" s="10"/>
      <c r="C78" s="40"/>
      <c r="D78" s="10"/>
      <c r="E78" s="10"/>
      <c r="F78" s="10"/>
      <c r="G78" s="4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</row>
    <row r="79" spans="1:42" x14ac:dyDescent="0.3">
      <c r="A79" s="10"/>
      <c r="B79" s="10"/>
      <c r="C79" s="40"/>
      <c r="D79" s="10"/>
      <c r="E79" s="10"/>
      <c r="F79" s="10"/>
      <c r="G79" s="4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</row>
    <row r="80" spans="1:42" x14ac:dyDescent="0.3">
      <c r="A80" s="10"/>
      <c r="B80" s="10"/>
      <c r="C80" s="40"/>
      <c r="D80" s="10"/>
      <c r="E80" s="10"/>
      <c r="F80" s="10"/>
      <c r="G80" s="4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</row>
    <row r="81" spans="1:42" x14ac:dyDescent="0.3">
      <c r="A81" s="10"/>
      <c r="B81" s="10"/>
      <c r="C81" s="40"/>
      <c r="D81" s="10"/>
      <c r="E81" s="10"/>
      <c r="F81" s="10"/>
      <c r="G81" s="4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</row>
    <row r="82" spans="1:42" x14ac:dyDescent="0.3">
      <c r="A82" s="10"/>
      <c r="B82" s="10"/>
      <c r="C82" s="40"/>
      <c r="D82" s="10"/>
      <c r="E82" s="10"/>
      <c r="F82" s="10"/>
      <c r="G82" s="4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</row>
    <row r="83" spans="1:42" x14ac:dyDescent="0.3">
      <c r="A83" s="10"/>
      <c r="B83" s="10"/>
      <c r="C83" s="40"/>
      <c r="D83" s="10"/>
      <c r="E83" s="10"/>
      <c r="F83" s="10"/>
      <c r="G83" s="4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</row>
    <row r="84" spans="1:42" x14ac:dyDescent="0.3">
      <c r="A84" s="10"/>
      <c r="B84" s="10"/>
      <c r="C84" s="40"/>
      <c r="D84" s="10"/>
      <c r="E84" s="10"/>
      <c r="F84" s="10"/>
      <c r="G84" s="4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</row>
    <row r="85" spans="1:42" x14ac:dyDescent="0.3">
      <c r="A85" s="10"/>
      <c r="B85" s="10"/>
      <c r="C85" s="40"/>
      <c r="D85" s="10"/>
      <c r="E85" s="10"/>
      <c r="F85" s="10"/>
      <c r="G85" s="4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</row>
    <row r="86" spans="1:42" x14ac:dyDescent="0.3">
      <c r="A86" s="10"/>
      <c r="B86" s="10"/>
      <c r="C86" s="40"/>
      <c r="D86" s="10"/>
      <c r="E86" s="10"/>
      <c r="F86" s="10"/>
      <c r="G86" s="4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</row>
    <row r="87" spans="1:42" x14ac:dyDescent="0.3">
      <c r="A87" s="10"/>
      <c r="B87" s="10"/>
      <c r="C87" s="40"/>
      <c r="D87" s="10"/>
      <c r="E87" s="10"/>
      <c r="F87" s="10"/>
      <c r="G87" s="4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</row>
    <row r="88" spans="1:42" x14ac:dyDescent="0.3">
      <c r="A88" s="10"/>
      <c r="B88" s="10"/>
      <c r="C88" s="40"/>
      <c r="D88" s="10"/>
      <c r="E88" s="10"/>
      <c r="F88" s="10"/>
      <c r="G88" s="4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x14ac:dyDescent="0.3">
      <c r="A89" s="10"/>
      <c r="B89" s="10"/>
      <c r="C89" s="40"/>
      <c r="D89" s="10"/>
      <c r="E89" s="10"/>
      <c r="F89" s="10"/>
      <c r="G89" s="4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x14ac:dyDescent="0.3">
      <c r="A90" s="10"/>
      <c r="B90" s="10"/>
      <c r="C90" s="40"/>
      <c r="D90" s="10"/>
      <c r="E90" s="10"/>
      <c r="F90" s="10"/>
      <c r="G90" s="4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</row>
    <row r="91" spans="1:42" x14ac:dyDescent="0.3">
      <c r="A91" s="10"/>
      <c r="B91" s="10"/>
      <c r="C91" s="40"/>
      <c r="D91" s="10"/>
      <c r="E91" s="10"/>
      <c r="F91" s="10"/>
      <c r="G91" s="4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</row>
    <row r="92" spans="1:42" x14ac:dyDescent="0.3">
      <c r="A92" s="10"/>
      <c r="B92" s="10"/>
      <c r="C92" s="40"/>
      <c r="D92" s="10"/>
      <c r="E92" s="10"/>
      <c r="F92" s="10"/>
      <c r="G92" s="4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</row>
    <row r="93" spans="1:42" x14ac:dyDescent="0.3">
      <c r="A93" s="10"/>
      <c r="B93" s="10"/>
      <c r="C93" s="40"/>
      <c r="D93" s="10"/>
      <c r="E93" s="10"/>
      <c r="F93" s="10"/>
      <c r="G93" s="4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x14ac:dyDescent="0.3">
      <c r="A94" s="10"/>
      <c r="B94" s="10"/>
      <c r="C94" s="40"/>
      <c r="D94" s="10"/>
      <c r="E94" s="10"/>
      <c r="F94" s="10"/>
      <c r="G94" s="4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</row>
    <row r="95" spans="1:42" x14ac:dyDescent="0.3">
      <c r="A95" s="10"/>
      <c r="B95" s="10"/>
      <c r="C95" s="40"/>
      <c r="D95" s="10"/>
      <c r="E95" s="10"/>
      <c r="F95" s="10"/>
      <c r="G95" s="4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</row>
  </sheetData>
  <mergeCells count="4">
    <mergeCell ref="D2:F2"/>
    <mergeCell ref="H2:K2"/>
    <mergeCell ref="B26:F33"/>
    <mergeCell ref="H26:K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4012A-0C43-4766-8A8F-C3093211AEFF}">
  <dimension ref="A1:AI81"/>
  <sheetViews>
    <sheetView workbookViewId="0">
      <selection activeCell="J42" sqref="J42"/>
    </sheetView>
  </sheetViews>
  <sheetFormatPr defaultRowHeight="14.4" x14ac:dyDescent="0.3"/>
  <cols>
    <col min="1" max="1" width="19.109375" style="13" bestFit="1" customWidth="1"/>
    <col min="2" max="2" width="15" customWidth="1"/>
    <col min="3" max="3" width="9.109375" customWidth="1"/>
    <col min="7" max="7" width="2.5546875" style="12" customWidth="1"/>
    <col min="8" max="8" width="14" customWidth="1"/>
    <col min="9" max="9" width="9.109375" customWidth="1"/>
    <col min="13" max="13" width="2.5546875" style="12" customWidth="1"/>
    <col min="15" max="15" width="10.44140625" customWidth="1"/>
    <col min="17" max="17" width="7.6640625" bestFit="1" customWidth="1"/>
    <col min="19" max="19" width="13.88671875" style="27" bestFit="1" customWidth="1"/>
  </cols>
  <sheetData>
    <row r="1" spans="1:35" ht="14.4" customHeight="1" x14ac:dyDescent="0.3">
      <c r="B1" s="58" t="s">
        <v>5</v>
      </c>
      <c r="C1" s="59"/>
      <c r="D1" s="59"/>
      <c r="E1" s="59"/>
      <c r="F1" s="60"/>
      <c r="H1" s="58" t="s">
        <v>6</v>
      </c>
      <c r="I1" s="59"/>
      <c r="J1" s="59"/>
      <c r="K1" s="59"/>
      <c r="L1" s="60"/>
      <c r="N1" s="59" t="s">
        <v>13</v>
      </c>
      <c r="O1" s="59"/>
      <c r="P1" s="59"/>
      <c r="Q1" s="59"/>
      <c r="R1" s="59"/>
      <c r="S1" s="6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4.4" customHeight="1" x14ac:dyDescent="0.3">
      <c r="B2" s="61"/>
      <c r="C2" s="62"/>
      <c r="D2" s="62"/>
      <c r="E2" s="62"/>
      <c r="F2" s="63"/>
      <c r="H2" s="61"/>
      <c r="I2" s="62"/>
      <c r="J2" s="62"/>
      <c r="K2" s="62"/>
      <c r="L2" s="63"/>
      <c r="N2" s="62"/>
      <c r="O2" s="62"/>
      <c r="P2" s="62"/>
      <c r="Q2" s="62"/>
      <c r="R2" s="62"/>
      <c r="S2" s="63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5" customHeight="1" x14ac:dyDescent="0.3">
      <c r="B3" s="61"/>
      <c r="C3" s="62"/>
      <c r="D3" s="62"/>
      <c r="E3" s="62"/>
      <c r="F3" s="63"/>
      <c r="H3" s="61"/>
      <c r="I3" s="62"/>
      <c r="J3" s="62"/>
      <c r="K3" s="62"/>
      <c r="L3" s="63"/>
      <c r="N3" s="64"/>
      <c r="O3" s="64"/>
      <c r="P3" s="64"/>
      <c r="Q3" s="64"/>
      <c r="R3" s="64"/>
      <c r="S3" s="65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32.4" customHeight="1" x14ac:dyDescent="0.3">
      <c r="B4" s="20" t="s">
        <v>21</v>
      </c>
      <c r="C4" s="20" t="s">
        <v>34</v>
      </c>
      <c r="D4" s="15"/>
      <c r="E4" s="15"/>
      <c r="F4" s="16"/>
      <c r="G4" s="17"/>
      <c r="H4" s="20" t="s">
        <v>21</v>
      </c>
      <c r="I4" s="20" t="s">
        <v>34</v>
      </c>
      <c r="J4" s="15"/>
      <c r="K4" s="15"/>
      <c r="L4" s="16"/>
      <c r="M4" s="17"/>
      <c r="N4" s="23" t="s">
        <v>35</v>
      </c>
      <c r="O4" s="23" t="s">
        <v>14</v>
      </c>
      <c r="P4" s="23" t="s">
        <v>15</v>
      </c>
      <c r="Q4" s="23" t="s">
        <v>17</v>
      </c>
      <c r="R4" s="23" t="s">
        <v>16</v>
      </c>
      <c r="S4" s="30" t="s">
        <v>18</v>
      </c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 spans="1:35" x14ac:dyDescent="0.3">
      <c r="A5" s="14"/>
      <c r="B5" s="5"/>
      <c r="C5" s="5"/>
      <c r="D5" s="15"/>
      <c r="E5" s="15"/>
      <c r="F5" s="16"/>
      <c r="G5" s="17"/>
      <c r="H5" s="5"/>
      <c r="I5" s="5"/>
      <c r="J5" s="15"/>
      <c r="K5" s="15"/>
      <c r="L5" s="16"/>
      <c r="M5" s="17"/>
      <c r="N5" s="5"/>
      <c r="O5" s="5"/>
      <c r="P5" s="5"/>
      <c r="Q5" s="5"/>
      <c r="R5" s="5"/>
      <c r="S5" s="31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35" x14ac:dyDescent="0.3">
      <c r="A6" s="14" t="s">
        <v>12</v>
      </c>
      <c r="B6" s="24">
        <v>16468</v>
      </c>
      <c r="C6" s="24"/>
      <c r="D6" s="15"/>
      <c r="E6" s="15"/>
      <c r="F6" s="16"/>
      <c r="G6" s="17"/>
      <c r="H6" s="24">
        <v>16561</v>
      </c>
      <c r="I6" s="24"/>
      <c r="J6" s="15"/>
      <c r="K6" s="15"/>
      <c r="L6" s="16"/>
      <c r="M6" s="17"/>
      <c r="N6" s="21" t="s">
        <v>19</v>
      </c>
      <c r="O6" s="21" t="s">
        <v>19</v>
      </c>
      <c r="P6" s="21" t="s">
        <v>19</v>
      </c>
      <c r="Q6" s="21" t="s">
        <v>19</v>
      </c>
      <c r="R6" s="21" t="s">
        <v>19</v>
      </c>
      <c r="S6" s="32" t="s">
        <v>19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35" x14ac:dyDescent="0.3">
      <c r="A7" s="14"/>
      <c r="B7" s="5"/>
      <c r="C7" s="5"/>
      <c r="D7" s="15"/>
      <c r="E7" s="15"/>
      <c r="F7" s="16"/>
      <c r="G7" s="17"/>
      <c r="H7" s="5"/>
      <c r="I7" s="5"/>
      <c r="J7" s="15"/>
      <c r="K7" s="15"/>
      <c r="L7" s="16"/>
      <c r="M7" s="17"/>
      <c r="N7" s="5"/>
      <c r="O7" s="5"/>
      <c r="P7" s="5"/>
      <c r="Q7" s="5"/>
      <c r="R7" s="5"/>
      <c r="S7" s="31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x14ac:dyDescent="0.3">
      <c r="A8" s="14" t="s">
        <v>2</v>
      </c>
      <c r="B8" s="5">
        <v>6.3405392275929078</v>
      </c>
      <c r="C8" s="5">
        <v>1</v>
      </c>
      <c r="D8" s="15"/>
      <c r="E8" s="15"/>
      <c r="F8" s="16"/>
      <c r="G8" s="17"/>
      <c r="H8" s="5">
        <v>6.313749169736127</v>
      </c>
      <c r="I8" s="5">
        <v>1</v>
      </c>
      <c r="J8" s="15"/>
      <c r="K8" s="15"/>
      <c r="L8" s="16"/>
      <c r="M8" s="17"/>
      <c r="N8" s="22">
        <f>I8/C8-1</f>
        <v>0</v>
      </c>
      <c r="O8" s="22">
        <f>H8/B8-1</f>
        <v>-4.2252018156744287E-3</v>
      </c>
      <c r="P8" s="22">
        <v>0.45764868956692961</v>
      </c>
      <c r="Q8" s="5" t="str">
        <f>IF(P8&lt;0.0001,"***", IF(P8&lt;0.01,"**", IF(P8&lt;0.05,"*","---")))</f>
        <v>---</v>
      </c>
      <c r="R8" s="22">
        <v>3.4390621024518002E-3</v>
      </c>
      <c r="S8" s="31">
        <v>234972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spans="1:35" x14ac:dyDescent="0.3">
      <c r="A9" s="14"/>
      <c r="B9" s="5"/>
      <c r="C9" s="5"/>
      <c r="D9" s="15"/>
      <c r="E9" s="15"/>
      <c r="F9" s="16"/>
      <c r="G9" s="17"/>
      <c r="H9" s="5"/>
      <c r="I9" s="5"/>
      <c r="J9" s="15"/>
      <c r="K9" s="15"/>
      <c r="L9" s="16"/>
      <c r="M9" s="17"/>
      <c r="N9" s="22"/>
      <c r="O9" s="22"/>
      <c r="P9" s="22"/>
      <c r="Q9" s="5"/>
      <c r="R9" s="22"/>
      <c r="S9" s="31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 spans="1:35" x14ac:dyDescent="0.3">
      <c r="A10" s="14" t="s">
        <v>22</v>
      </c>
      <c r="B10" s="5">
        <v>29.114342968180715</v>
      </c>
      <c r="C10" s="5">
        <v>0.90788195287830942</v>
      </c>
      <c r="D10" s="15"/>
      <c r="E10" s="15"/>
      <c r="F10" s="16"/>
      <c r="G10" s="17"/>
      <c r="H10" s="5">
        <v>29.288026085381318</v>
      </c>
      <c r="I10" s="5">
        <v>0.90465551597125782</v>
      </c>
      <c r="J10" s="15"/>
      <c r="K10" s="15"/>
      <c r="L10" s="16"/>
      <c r="M10" s="17"/>
      <c r="N10" s="22">
        <f t="shared" ref="N10:N19" si="0">I10/C10-1</f>
        <v>-3.5538066340261576E-3</v>
      </c>
      <c r="O10" s="22">
        <f t="shared" ref="O10:O19" si="1">H10/B10-1</f>
        <v>5.9655516660781505E-3</v>
      </c>
      <c r="P10" s="22">
        <v>0.69942958230826324</v>
      </c>
      <c r="Q10" s="5" t="str">
        <f t="shared" ref="Q10:Q19" si="2">IF(P10&lt;0.0001,"***", IF(P10&lt;0.01,"**", IF(P10&lt;0.05,"*","---")))</f>
        <v>---</v>
      </c>
      <c r="R10" s="22">
        <v>5.7758360363644741E-2</v>
      </c>
      <c r="S10" s="31">
        <v>869578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 spans="1:35" x14ac:dyDescent="0.3">
      <c r="A11" s="14" t="s">
        <v>26</v>
      </c>
      <c r="B11" s="5">
        <v>1.9485669176584892</v>
      </c>
      <c r="C11" s="5">
        <v>0.38310663104202086</v>
      </c>
      <c r="D11" s="15"/>
      <c r="E11" s="15"/>
      <c r="F11" s="16"/>
      <c r="G11" s="17"/>
      <c r="H11" s="5">
        <v>1.9792283074693557</v>
      </c>
      <c r="I11" s="5">
        <v>0.37183744942938229</v>
      </c>
      <c r="J11" s="15"/>
      <c r="K11" s="15"/>
      <c r="L11" s="16"/>
      <c r="M11" s="17"/>
      <c r="N11" s="22">
        <f t="shared" si="0"/>
        <v>-2.941526118195148E-2</v>
      </c>
      <c r="O11" s="22">
        <f t="shared" si="1"/>
        <v>1.5735353778720151E-2</v>
      </c>
      <c r="P11" s="22">
        <v>0.64292694485400181</v>
      </c>
      <c r="Q11" s="5" t="str">
        <f t="shared" si="2"/>
        <v>---</v>
      </c>
      <c r="R11" s="22">
        <v>6.7280761308709261E-2</v>
      </c>
      <c r="S11" s="31">
        <v>603078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 spans="1:35" x14ac:dyDescent="0.3">
      <c r="A12" s="14" t="s">
        <v>25</v>
      </c>
      <c r="B12" s="5">
        <v>5.2482997328151564</v>
      </c>
      <c r="C12" s="5">
        <v>0.60675248967694928</v>
      </c>
      <c r="D12" s="15"/>
      <c r="E12" s="15"/>
      <c r="F12" s="16"/>
      <c r="G12" s="17"/>
      <c r="H12" s="5">
        <v>7.4366886057605219</v>
      </c>
      <c r="I12" s="5">
        <v>0.73413441217317799</v>
      </c>
      <c r="J12" s="15"/>
      <c r="K12" s="15"/>
      <c r="L12" s="16"/>
      <c r="M12" s="17"/>
      <c r="N12" s="22">
        <f t="shared" si="0"/>
        <v>0.20994050236868445</v>
      </c>
      <c r="O12" s="22">
        <f t="shared" si="1"/>
        <v>0.41697101620595256</v>
      </c>
      <c r="P12" s="22">
        <v>0</v>
      </c>
      <c r="Q12" s="5" t="str">
        <f t="shared" si="2"/>
        <v>***</v>
      </c>
      <c r="R12" s="22">
        <v>1</v>
      </c>
      <c r="S12" s="31">
        <v>1081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x14ac:dyDescent="0.3">
      <c r="A13" s="14" t="s">
        <v>24</v>
      </c>
      <c r="B13" s="5">
        <v>3.5595700752975468</v>
      </c>
      <c r="C13" s="5">
        <v>0.32050036434296819</v>
      </c>
      <c r="D13" s="15"/>
      <c r="E13" s="15"/>
      <c r="F13" s="16"/>
      <c r="G13" s="17"/>
      <c r="H13" s="5">
        <v>4.1086287059960149</v>
      </c>
      <c r="I13" s="5">
        <v>0.32365195338445746</v>
      </c>
      <c r="J13" s="15"/>
      <c r="K13" s="15"/>
      <c r="L13" s="16"/>
      <c r="M13" s="17"/>
      <c r="N13" s="22">
        <f t="shared" si="0"/>
        <v>9.8333399649952469E-3</v>
      </c>
      <c r="O13" s="22">
        <f t="shared" si="1"/>
        <v>0.15424858032962652</v>
      </c>
      <c r="P13" s="22">
        <v>2.4538671426676872E-2</v>
      </c>
      <c r="Q13" s="5" t="str">
        <f t="shared" si="2"/>
        <v>*</v>
      </c>
      <c r="R13" s="22">
        <v>0.61356573762749722</v>
      </c>
      <c r="S13" s="31">
        <v>25661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x14ac:dyDescent="0.3">
      <c r="A14" s="14" t="s">
        <v>23</v>
      </c>
      <c r="B14" s="5">
        <v>0.57985183385960648</v>
      </c>
      <c r="C14" s="5">
        <v>0.2275929074568861</v>
      </c>
      <c r="D14" s="15"/>
      <c r="E14" s="15"/>
      <c r="F14" s="16"/>
      <c r="G14" s="17"/>
      <c r="H14" s="5">
        <v>0.6469416098061711</v>
      </c>
      <c r="I14" s="5">
        <v>0.2228730149145583</v>
      </c>
      <c r="J14" s="15"/>
      <c r="K14" s="15"/>
      <c r="L14" s="16"/>
      <c r="M14" s="17"/>
      <c r="N14" s="22">
        <f t="shared" si="0"/>
        <v>-2.0738311202522453E-2</v>
      </c>
      <c r="O14" s="22">
        <f t="shared" si="1"/>
        <v>0.11570158448926859</v>
      </c>
      <c r="P14" s="22">
        <v>0.25352228230056939</v>
      </c>
      <c r="Q14" s="5" t="str">
        <f t="shared" si="2"/>
        <v>---</v>
      </c>
      <c r="R14" s="22">
        <v>0.2066419957468279</v>
      </c>
      <c r="S14" s="31">
        <v>99642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x14ac:dyDescent="0.3">
      <c r="A15" s="14" t="s">
        <v>3</v>
      </c>
      <c r="B15" s="5">
        <v>2.2303862035462716</v>
      </c>
      <c r="C15" s="5">
        <v>0.26390575661889726</v>
      </c>
      <c r="D15" s="15"/>
      <c r="E15" s="15"/>
      <c r="F15" s="16"/>
      <c r="G15" s="17"/>
      <c r="H15" s="5">
        <v>2.3395930197451844</v>
      </c>
      <c r="I15" s="5">
        <v>0.25916309401606186</v>
      </c>
      <c r="J15" s="15"/>
      <c r="K15" s="15"/>
      <c r="L15" s="16"/>
      <c r="M15" s="17"/>
      <c r="N15" s="22">
        <f t="shared" si="0"/>
        <v>-1.797104642050007E-2</v>
      </c>
      <c r="O15" s="22">
        <f t="shared" si="1"/>
        <v>4.8963186745540233E-2</v>
      </c>
      <c r="P15" s="22">
        <v>0.55066932527723611</v>
      </c>
      <c r="Q15" s="5" t="str">
        <f t="shared" si="2"/>
        <v>---</v>
      </c>
      <c r="R15" s="22">
        <v>8.6408715341068032E-2</v>
      </c>
      <c r="S15" s="31">
        <v>364366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x14ac:dyDescent="0.3">
      <c r="A16" s="14" t="s">
        <v>30</v>
      </c>
      <c r="B16" s="5">
        <v>1.3846854505708039</v>
      </c>
      <c r="C16" s="5">
        <v>0.24908914257954823</v>
      </c>
      <c r="D16" s="15"/>
      <c r="E16" s="15"/>
      <c r="F16" s="16"/>
      <c r="G16" s="17"/>
      <c r="H16" s="5">
        <v>1.5823923676106515</v>
      </c>
      <c r="I16" s="5">
        <v>0.24593925487591328</v>
      </c>
      <c r="J16" s="15"/>
      <c r="K16" s="15"/>
      <c r="L16" s="16"/>
      <c r="M16" s="17"/>
      <c r="N16" s="22">
        <f t="shared" si="0"/>
        <v>-1.2645624257303867E-2</v>
      </c>
      <c r="O16" s="22">
        <f t="shared" si="1"/>
        <v>0.14278110379389597</v>
      </c>
      <c r="P16" s="22">
        <v>0.31057188635123278</v>
      </c>
      <c r="Q16" s="5" t="str">
        <f t="shared" si="2"/>
        <v>---</v>
      </c>
      <c r="R16" s="22">
        <v>0.17208928577457477</v>
      </c>
      <c r="S16" s="31">
        <v>126203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x14ac:dyDescent="0.3">
      <c r="A17" s="14" t="s">
        <v>31</v>
      </c>
      <c r="B17" s="5">
        <v>2.3615496720913285</v>
      </c>
      <c r="C17" s="5">
        <v>0.47455671605538013</v>
      </c>
      <c r="D17" s="15"/>
      <c r="E17" s="15"/>
      <c r="F17" s="16"/>
      <c r="G17" s="17"/>
      <c r="H17" s="5">
        <v>2.4260008453595798</v>
      </c>
      <c r="I17" s="5">
        <v>0.4677253789022402</v>
      </c>
      <c r="J17" s="15"/>
      <c r="K17" s="15"/>
      <c r="L17" s="16"/>
      <c r="M17" s="17"/>
      <c r="N17" s="22">
        <f t="shared" si="0"/>
        <v>-1.439519644758902E-2</v>
      </c>
      <c r="O17" s="22">
        <f t="shared" si="1"/>
        <v>2.7291898209862664E-2</v>
      </c>
      <c r="P17" s="22">
        <v>0.6323639601908706</v>
      </c>
      <c r="Q17" s="5" t="str">
        <f t="shared" si="2"/>
        <v>---</v>
      </c>
      <c r="R17" s="22">
        <v>6.9228468363572188E-2</v>
      </c>
      <c r="S17" s="31">
        <v>566735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x14ac:dyDescent="0.3">
      <c r="A18" s="14" t="s">
        <v>33</v>
      </c>
      <c r="B18" s="5">
        <v>1.8563274228807385</v>
      </c>
      <c r="C18" s="5">
        <v>0.99769249453485542</v>
      </c>
      <c r="D18" s="15"/>
      <c r="E18" s="15"/>
      <c r="F18" s="16"/>
      <c r="G18" s="17"/>
      <c r="H18" s="5">
        <v>1.8991002958758529</v>
      </c>
      <c r="I18" s="5">
        <v>0.99770545256928933</v>
      </c>
      <c r="J18" s="15"/>
      <c r="K18" s="15"/>
      <c r="L18" s="16"/>
      <c r="M18" s="17"/>
      <c r="N18" s="22">
        <f t="shared" si="0"/>
        <v>1.2988004324920865E-5</v>
      </c>
      <c r="O18" s="22">
        <f t="shared" si="1"/>
        <v>2.3041664130963202E-2</v>
      </c>
      <c r="P18" s="22">
        <v>0.85887870408183953</v>
      </c>
      <c r="Q18" s="5" t="str">
        <f t="shared" si="2"/>
        <v>---</v>
      </c>
      <c r="R18" s="22">
        <v>3.7361386458371282E-2</v>
      </c>
      <c r="S18" s="31">
        <v>4105580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x14ac:dyDescent="0.3">
      <c r="A19" s="14" t="s">
        <v>32</v>
      </c>
      <c r="B19" s="5">
        <v>0.32104687879523924</v>
      </c>
      <c r="C19" s="5">
        <v>0.13389604080641243</v>
      </c>
      <c r="D19" s="15"/>
      <c r="E19" s="15"/>
      <c r="F19" s="16"/>
      <c r="G19" s="17"/>
      <c r="H19" s="5">
        <v>0.38663124207475397</v>
      </c>
      <c r="I19" s="5">
        <v>0.13404987621520439</v>
      </c>
      <c r="J19" s="15"/>
      <c r="K19" s="15"/>
      <c r="L19" s="16"/>
      <c r="M19" s="17"/>
      <c r="N19" s="22">
        <f t="shared" si="0"/>
        <v>1.1489167854812354E-3</v>
      </c>
      <c r="O19" s="22">
        <f t="shared" si="1"/>
        <v>0.20428282475639281</v>
      </c>
      <c r="P19" s="22">
        <v>0.12011954459589447</v>
      </c>
      <c r="Q19" s="5" t="str">
        <f t="shared" si="2"/>
        <v>---</v>
      </c>
      <c r="R19" s="22">
        <v>0.34248447374923607</v>
      </c>
      <c r="S19" s="31">
        <v>53752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x14ac:dyDescent="0.3">
      <c r="A20" s="14"/>
      <c r="B20" s="5"/>
      <c r="C20" s="5"/>
      <c r="D20" s="15"/>
      <c r="E20" s="15"/>
      <c r="F20" s="16"/>
      <c r="G20" s="17"/>
      <c r="H20" s="5"/>
      <c r="I20" s="5"/>
      <c r="J20" s="15"/>
      <c r="K20" s="15"/>
      <c r="L20" s="16"/>
      <c r="M20" s="17"/>
      <c r="N20" s="22"/>
      <c r="O20" s="22"/>
      <c r="P20" s="22"/>
      <c r="Q20" s="5"/>
      <c r="R20" s="22"/>
      <c r="S20" s="31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x14ac:dyDescent="0.3">
      <c r="A21" s="14" t="s">
        <v>27</v>
      </c>
      <c r="B21" s="5">
        <v>31.062909885839204</v>
      </c>
      <c r="C21" s="5">
        <v>0.92931746417294148</v>
      </c>
      <c r="D21" s="15"/>
      <c r="E21" s="15"/>
      <c r="F21" s="16"/>
      <c r="G21" s="17"/>
      <c r="H21" s="5">
        <v>31.267254392850674</v>
      </c>
      <c r="I21" s="5">
        <v>0.92470261457641445</v>
      </c>
      <c r="J21" s="15"/>
      <c r="K21" s="15"/>
      <c r="L21" s="16"/>
      <c r="M21" s="17"/>
      <c r="N21" s="22">
        <f t="shared" ref="N21:N25" si="3">I21/C21-1</f>
        <v>-4.9658483504709805E-3</v>
      </c>
      <c r="O21" s="22">
        <f t="shared" ref="O21:O25" si="4">H21/B21-1</f>
        <v>6.5784083900208845E-3</v>
      </c>
      <c r="P21" s="22">
        <v>0.66439445300086941</v>
      </c>
      <c r="Q21" s="5" t="str">
        <f t="shared" ref="Q21:Q25" si="5">IF(P21&lt;0.0001,"***", IF(P21&lt;0.01,"**", IF(P21&lt;0.05,"*","---")))</f>
        <v>---</v>
      </c>
      <c r="R21" s="22">
        <v>6.3491240081035558E-2</v>
      </c>
      <c r="S21" s="31">
        <v>688651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x14ac:dyDescent="0.3">
      <c r="A22" s="14" t="s">
        <v>29</v>
      </c>
      <c r="B22" s="5">
        <v>9.3877216419723091</v>
      </c>
      <c r="C22" s="5">
        <v>0.70743259655088653</v>
      </c>
      <c r="D22" s="15"/>
      <c r="E22" s="15"/>
      <c r="F22" s="16"/>
      <c r="G22" s="17"/>
      <c r="H22" s="5">
        <v>12.192258921562708</v>
      </c>
      <c r="I22" s="5">
        <v>0.79530221604975548</v>
      </c>
      <c r="J22" s="15"/>
      <c r="K22" s="15"/>
      <c r="L22" s="16"/>
      <c r="M22" s="17"/>
      <c r="N22" s="22">
        <f t="shared" si="3"/>
        <v>0.12420917544269305</v>
      </c>
      <c r="O22" s="22">
        <f t="shared" si="4"/>
        <v>0.29874525327331503</v>
      </c>
      <c r="P22" s="22">
        <v>1.6995294060961896E-11</v>
      </c>
      <c r="Q22" s="5" t="str">
        <f t="shared" si="5"/>
        <v>***</v>
      </c>
      <c r="R22" s="22">
        <v>0.99999907789453579</v>
      </c>
      <c r="S22" s="31">
        <v>2866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x14ac:dyDescent="0.3">
      <c r="A23" s="14" t="s">
        <v>28</v>
      </c>
      <c r="B23" s="5">
        <v>3.7462351226621324</v>
      </c>
      <c r="C23" s="5">
        <v>0.53066553315521015</v>
      </c>
      <c r="D23" s="15"/>
      <c r="E23" s="15"/>
      <c r="F23" s="16"/>
      <c r="G23" s="17"/>
      <c r="H23" s="5">
        <v>4.0083932129702315</v>
      </c>
      <c r="I23" s="5">
        <v>0.52339834551053677</v>
      </c>
      <c r="J23" s="15"/>
      <c r="K23" s="15"/>
      <c r="L23" s="16"/>
      <c r="M23" s="17"/>
      <c r="N23" s="22">
        <f t="shared" si="3"/>
        <v>-1.3694478330756543E-2</v>
      </c>
      <c r="O23" s="22">
        <f t="shared" si="4"/>
        <v>6.997908079026427E-2</v>
      </c>
      <c r="P23" s="22">
        <v>0.37982555671204432</v>
      </c>
      <c r="Q23" s="5" t="str">
        <f t="shared" si="5"/>
        <v>---</v>
      </c>
      <c r="R23" s="22">
        <v>0.13968265329283042</v>
      </c>
      <c r="S23" s="31">
        <v>168264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x14ac:dyDescent="0.3">
      <c r="A24" s="14" t="s">
        <v>4</v>
      </c>
      <c r="B24" s="5">
        <v>13.133956764634442</v>
      </c>
      <c r="C24" s="5">
        <v>0.79390332766577609</v>
      </c>
      <c r="D24" s="15"/>
      <c r="E24" s="15"/>
      <c r="F24" s="16"/>
      <c r="G24" s="17"/>
      <c r="H24" s="5">
        <v>16.200652134532938</v>
      </c>
      <c r="I24" s="5">
        <v>0.83871746875188702</v>
      </c>
      <c r="J24" s="15"/>
      <c r="K24" s="15"/>
      <c r="L24" s="16"/>
      <c r="M24" s="17"/>
      <c r="N24" s="22">
        <f t="shared" si="3"/>
        <v>5.6447856463674118E-2</v>
      </c>
      <c r="O24" s="22">
        <f t="shared" si="4"/>
        <v>0.23349363979605342</v>
      </c>
      <c r="P24" s="22">
        <v>4.6329131238032062E-6</v>
      </c>
      <c r="Q24" s="5" t="str">
        <f t="shared" si="5"/>
        <v>***</v>
      </c>
      <c r="R24" s="22">
        <v>0.99561375135935537</v>
      </c>
      <c r="S24" s="31">
        <v>6187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x14ac:dyDescent="0.3">
      <c r="A25" s="14" t="s">
        <v>10</v>
      </c>
      <c r="B25" s="5">
        <v>44.196866650473645</v>
      </c>
      <c r="C25" s="5">
        <v>0.97583191644401268</v>
      </c>
      <c r="D25" s="15"/>
      <c r="E25" s="15"/>
      <c r="F25" s="16"/>
      <c r="G25" s="17"/>
      <c r="H25" s="5">
        <v>47.467906527383612</v>
      </c>
      <c r="I25" s="5">
        <v>0.97536380653342192</v>
      </c>
      <c r="J25" s="15"/>
      <c r="K25" s="15"/>
      <c r="L25" s="16"/>
      <c r="M25" s="17"/>
      <c r="N25" s="22">
        <f t="shared" si="3"/>
        <v>-4.7970342299996638E-4</v>
      </c>
      <c r="O25" s="22">
        <f t="shared" si="4"/>
        <v>7.4010673715370956E-2</v>
      </c>
      <c r="P25" s="22">
        <v>2.5301864698801246E-4</v>
      </c>
      <c r="Q25" s="5" t="str">
        <f t="shared" si="5"/>
        <v>**</v>
      </c>
      <c r="R25" s="22">
        <v>0.95536122537552692</v>
      </c>
      <c r="S25" s="31">
        <v>9691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x14ac:dyDescent="0.3">
      <c r="A26" s="14"/>
      <c r="B26" s="5"/>
      <c r="C26" s="5"/>
      <c r="D26" s="15"/>
      <c r="E26" s="15"/>
      <c r="F26" s="16"/>
      <c r="G26" s="17"/>
      <c r="H26" s="5"/>
      <c r="I26" s="5"/>
      <c r="J26" s="15"/>
      <c r="K26" s="15"/>
      <c r="L26" s="16"/>
      <c r="M26" s="17"/>
      <c r="N26" s="5"/>
      <c r="O26" s="5"/>
      <c r="P26" s="5"/>
      <c r="Q26" s="5"/>
      <c r="R26" s="5"/>
      <c r="S26" s="31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x14ac:dyDescent="0.3">
      <c r="A27" s="14"/>
      <c r="B27" s="5"/>
      <c r="C27" s="5"/>
      <c r="D27" s="15"/>
      <c r="E27" s="15"/>
      <c r="F27" s="16"/>
      <c r="G27" s="17"/>
      <c r="H27" s="5"/>
      <c r="I27" s="5"/>
      <c r="J27" s="15"/>
      <c r="K27" s="15"/>
      <c r="L27" s="16"/>
      <c r="M27" s="17"/>
      <c r="N27" s="5"/>
      <c r="O27" s="5"/>
      <c r="P27" s="5"/>
      <c r="Q27" s="5"/>
      <c r="R27" s="5"/>
      <c r="S27" s="31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x14ac:dyDescent="0.3">
      <c r="A28" s="14"/>
      <c r="B28" s="5"/>
      <c r="C28" s="5"/>
      <c r="D28" s="15"/>
      <c r="E28" s="15"/>
      <c r="F28" s="16"/>
      <c r="G28" s="17"/>
      <c r="H28" s="5"/>
      <c r="I28" s="5"/>
      <c r="J28" s="15"/>
      <c r="K28" s="15"/>
      <c r="L28" s="16"/>
      <c r="M28" s="17"/>
      <c r="N28" s="5"/>
      <c r="O28" s="5"/>
      <c r="P28" s="5"/>
      <c r="Q28" s="5"/>
      <c r="R28" s="5"/>
      <c r="S28" s="31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x14ac:dyDescent="0.3">
      <c r="A29" s="14"/>
      <c r="B29" s="5"/>
      <c r="C29" s="5"/>
      <c r="D29" s="15"/>
      <c r="E29" s="15"/>
      <c r="F29" s="16"/>
      <c r="G29" s="17"/>
      <c r="H29" s="5"/>
      <c r="I29" s="5"/>
      <c r="J29" s="15"/>
      <c r="K29" s="15"/>
      <c r="L29" s="16"/>
      <c r="M29" s="17"/>
      <c r="N29" s="5"/>
      <c r="O29" s="5"/>
      <c r="P29" s="5"/>
      <c r="Q29" s="5"/>
      <c r="R29" s="5"/>
      <c r="S29" s="31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x14ac:dyDescent="0.3">
      <c r="A30" s="14"/>
      <c r="B30" s="5"/>
      <c r="C30" s="5"/>
      <c r="D30" s="15"/>
      <c r="E30" s="15"/>
      <c r="F30" s="16"/>
      <c r="G30" s="17"/>
      <c r="H30" s="5"/>
      <c r="I30" s="5"/>
      <c r="J30" s="15"/>
      <c r="K30" s="15"/>
      <c r="L30" s="16"/>
      <c r="M30" s="17"/>
      <c r="N30" s="5"/>
      <c r="O30" s="5"/>
      <c r="P30" s="5"/>
      <c r="Q30" s="5"/>
      <c r="R30" s="5"/>
      <c r="S30" s="31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x14ac:dyDescent="0.3">
      <c r="A31" s="14"/>
      <c r="B31" s="5"/>
      <c r="C31" s="5"/>
      <c r="D31" s="15"/>
      <c r="E31" s="15"/>
      <c r="F31" s="16"/>
      <c r="G31" s="17"/>
      <c r="H31" s="5"/>
      <c r="I31" s="5"/>
      <c r="J31" s="15"/>
      <c r="K31" s="15"/>
      <c r="L31" s="16"/>
      <c r="M31" s="17"/>
      <c r="N31" s="5"/>
      <c r="O31" s="5"/>
      <c r="P31" s="5"/>
      <c r="Q31" s="5"/>
      <c r="R31" s="5"/>
      <c r="S31" s="31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x14ac:dyDescent="0.3">
      <c r="A32" s="14"/>
      <c r="B32" s="5"/>
      <c r="C32" s="5"/>
      <c r="D32" s="15"/>
      <c r="E32" s="15"/>
      <c r="F32" s="16"/>
      <c r="G32" s="17"/>
      <c r="H32" s="5"/>
      <c r="I32" s="5"/>
      <c r="J32" s="15"/>
      <c r="K32" s="15"/>
      <c r="L32" s="16"/>
      <c r="M32" s="17"/>
      <c r="N32" s="5"/>
      <c r="O32" s="5"/>
      <c r="P32" s="5"/>
      <c r="Q32" s="5"/>
      <c r="R32" s="5"/>
      <c r="S32" s="31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x14ac:dyDescent="0.3">
      <c r="A33" s="14"/>
      <c r="B33" s="5"/>
      <c r="C33" s="5"/>
      <c r="D33" s="15"/>
      <c r="E33" s="15"/>
      <c r="F33" s="16"/>
      <c r="G33" s="17"/>
      <c r="H33" s="5"/>
      <c r="I33" s="5"/>
      <c r="J33" s="15"/>
      <c r="K33" s="15"/>
      <c r="L33" s="16"/>
      <c r="M33" s="17"/>
      <c r="N33" s="5"/>
      <c r="O33" s="5"/>
      <c r="P33" s="5"/>
      <c r="Q33" s="5"/>
      <c r="R33" s="5"/>
      <c r="S33" s="31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x14ac:dyDescent="0.3">
      <c r="A34" s="14"/>
      <c r="B34" s="5"/>
      <c r="C34" s="5"/>
      <c r="D34" s="15"/>
      <c r="E34" s="15"/>
      <c r="F34" s="16"/>
      <c r="G34" s="17"/>
      <c r="H34" s="5"/>
      <c r="I34" s="5"/>
      <c r="J34" s="15"/>
      <c r="K34" s="15"/>
      <c r="L34" s="16"/>
      <c r="M34" s="17"/>
      <c r="N34" s="15"/>
      <c r="O34" s="15"/>
      <c r="P34" s="15"/>
      <c r="Q34" s="15"/>
      <c r="R34" s="15"/>
      <c r="S34" s="25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x14ac:dyDescent="0.3">
      <c r="A35" s="14"/>
      <c r="B35" s="5"/>
      <c r="C35" s="5"/>
      <c r="D35" s="15"/>
      <c r="E35" s="15"/>
      <c r="F35" s="16"/>
      <c r="G35" s="17"/>
      <c r="H35" s="5"/>
      <c r="I35" s="5"/>
      <c r="J35" s="15"/>
      <c r="K35" s="15"/>
      <c r="L35" s="16"/>
      <c r="M35" s="17"/>
      <c r="N35" s="15"/>
      <c r="O35" s="15"/>
      <c r="P35" s="15"/>
      <c r="Q35" s="15"/>
      <c r="R35" s="15"/>
      <c r="S35" s="25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x14ac:dyDescent="0.3">
      <c r="A36" s="14"/>
      <c r="B36" s="5"/>
      <c r="C36" s="5"/>
      <c r="D36" s="15"/>
      <c r="E36" s="15"/>
      <c r="F36" s="16"/>
      <c r="G36" s="17"/>
      <c r="H36" s="5"/>
      <c r="I36" s="5"/>
      <c r="J36" s="15"/>
      <c r="K36" s="15"/>
      <c r="L36" s="16"/>
      <c r="M36" s="17"/>
      <c r="N36" s="15"/>
      <c r="O36" s="15"/>
      <c r="P36" s="15"/>
      <c r="Q36" s="15"/>
      <c r="R36" s="15"/>
      <c r="S36" s="25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x14ac:dyDescent="0.3">
      <c r="A37" s="14"/>
      <c r="B37" s="5"/>
      <c r="C37" s="5"/>
      <c r="D37" s="15"/>
      <c r="E37" s="15"/>
      <c r="F37" s="16"/>
      <c r="G37" s="17"/>
      <c r="H37" s="5"/>
      <c r="I37" s="5"/>
      <c r="J37" s="15"/>
      <c r="K37" s="15"/>
      <c r="L37" s="16"/>
      <c r="M37" s="17"/>
      <c r="N37" s="15"/>
      <c r="O37" s="15"/>
      <c r="P37" s="15"/>
      <c r="Q37" s="15"/>
      <c r="R37" s="15"/>
      <c r="S37" s="25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x14ac:dyDescent="0.3">
      <c r="A38" s="14"/>
      <c r="B38" s="5"/>
      <c r="C38" s="5"/>
      <c r="D38" s="15"/>
      <c r="E38" s="15"/>
      <c r="F38" s="16"/>
      <c r="G38" s="17"/>
      <c r="H38" s="5"/>
      <c r="I38" s="5"/>
      <c r="J38" s="15"/>
      <c r="K38" s="15"/>
      <c r="L38" s="16"/>
      <c r="M38" s="17"/>
      <c r="N38" s="15"/>
      <c r="O38" s="15"/>
      <c r="P38" s="15"/>
      <c r="Q38" s="15"/>
      <c r="R38" s="15"/>
      <c r="S38" s="2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x14ac:dyDescent="0.3">
      <c r="A39" s="14"/>
      <c r="B39" s="5"/>
      <c r="C39" s="5"/>
      <c r="D39" s="15"/>
      <c r="E39" s="15"/>
      <c r="F39" s="16"/>
      <c r="G39" s="17"/>
      <c r="H39" s="5"/>
      <c r="I39" s="5"/>
      <c r="J39" s="15"/>
      <c r="K39" s="15"/>
      <c r="L39" s="16"/>
      <c r="M39" s="17"/>
      <c r="N39" s="15"/>
      <c r="O39" s="15"/>
      <c r="P39" s="15"/>
      <c r="Q39" s="15"/>
      <c r="R39" s="15"/>
      <c r="S39" s="2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x14ac:dyDescent="0.3">
      <c r="A40" s="14"/>
      <c r="B40" s="5"/>
      <c r="C40" s="5"/>
      <c r="D40" s="15"/>
      <c r="E40" s="15"/>
      <c r="F40" s="16"/>
      <c r="G40" s="17"/>
      <c r="H40" s="5"/>
      <c r="I40" s="5"/>
      <c r="J40" s="15"/>
      <c r="K40" s="15"/>
      <c r="L40" s="16"/>
      <c r="M40" s="17"/>
      <c r="N40" s="15"/>
      <c r="O40" s="15"/>
      <c r="P40" s="15"/>
      <c r="Q40" s="15"/>
      <c r="R40" s="15"/>
      <c r="S40" s="2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x14ac:dyDescent="0.3">
      <c r="B41" s="5"/>
      <c r="C41" s="5"/>
      <c r="D41" s="15"/>
      <c r="E41" s="15"/>
      <c r="F41" s="16"/>
      <c r="G41" s="17"/>
      <c r="H41" s="5"/>
      <c r="I41" s="5"/>
      <c r="J41" s="15"/>
      <c r="K41" s="15"/>
      <c r="L41" s="16"/>
      <c r="M41" s="17"/>
      <c r="N41" s="15"/>
      <c r="O41" s="15"/>
      <c r="P41" s="15"/>
      <c r="Q41" s="15"/>
      <c r="R41" s="15"/>
      <c r="S41" s="2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x14ac:dyDescent="0.3">
      <c r="B42" s="5"/>
      <c r="C42" s="5"/>
      <c r="D42" s="15"/>
      <c r="E42" s="15"/>
      <c r="F42" s="16"/>
      <c r="G42" s="17"/>
      <c r="H42" s="5"/>
      <c r="I42" s="5"/>
      <c r="J42" s="15"/>
      <c r="K42" s="15"/>
      <c r="L42" s="16"/>
      <c r="M42" s="17"/>
      <c r="N42" s="15"/>
      <c r="O42" s="15"/>
      <c r="P42" s="15"/>
      <c r="Q42" s="15"/>
      <c r="R42" s="15"/>
      <c r="S42" s="2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3">
      <c r="B43" s="5"/>
      <c r="C43" s="5"/>
      <c r="D43" s="15"/>
      <c r="E43" s="15"/>
      <c r="F43" s="16"/>
      <c r="G43" s="17"/>
      <c r="H43" s="5"/>
      <c r="I43" s="5"/>
      <c r="J43" s="15"/>
      <c r="K43" s="15"/>
      <c r="L43" s="16"/>
      <c r="M43" s="17"/>
      <c r="N43" s="15"/>
      <c r="O43" s="15"/>
      <c r="P43" s="15"/>
      <c r="Q43" s="15"/>
      <c r="R43" s="15"/>
      <c r="S43" s="25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 spans="1:35" x14ac:dyDescent="0.3">
      <c r="B44" s="5"/>
      <c r="C44" s="5"/>
      <c r="D44" s="15"/>
      <c r="E44" s="15"/>
      <c r="F44" s="16"/>
      <c r="G44" s="17"/>
      <c r="H44" s="5"/>
      <c r="I44" s="5"/>
      <c r="J44" s="15"/>
      <c r="K44" s="15"/>
      <c r="L44" s="16"/>
      <c r="M44" s="17"/>
      <c r="N44" s="15"/>
      <c r="O44" s="15"/>
      <c r="P44" s="15"/>
      <c r="Q44" s="15"/>
      <c r="R44" s="15"/>
      <c r="S44" s="2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 spans="1:35" x14ac:dyDescent="0.3">
      <c r="B45" s="5"/>
      <c r="C45" s="5"/>
      <c r="D45" s="15"/>
      <c r="E45" s="15"/>
      <c r="F45" s="16"/>
      <c r="G45" s="17"/>
      <c r="H45" s="5"/>
      <c r="I45" s="5"/>
      <c r="J45" s="15"/>
      <c r="K45" s="15"/>
      <c r="L45" s="16"/>
      <c r="M45" s="17"/>
      <c r="N45" s="15"/>
      <c r="O45" s="15"/>
      <c r="P45" s="15"/>
      <c r="Q45" s="15"/>
      <c r="R45" s="15"/>
      <c r="S45" s="2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 spans="1:35" x14ac:dyDescent="0.3">
      <c r="B46" s="5"/>
      <c r="C46" s="5"/>
      <c r="D46" s="15"/>
      <c r="E46" s="15"/>
      <c r="F46" s="16"/>
      <c r="G46" s="17"/>
      <c r="H46" s="5"/>
      <c r="I46" s="5"/>
      <c r="J46" s="15"/>
      <c r="K46" s="15"/>
      <c r="L46" s="16"/>
      <c r="M46" s="17"/>
      <c r="N46" s="15"/>
      <c r="O46" s="15"/>
      <c r="P46" s="15"/>
      <c r="Q46" s="15"/>
      <c r="R46" s="15"/>
      <c r="S46" s="2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1:35" x14ac:dyDescent="0.3">
      <c r="B47" s="5"/>
      <c r="C47" s="5"/>
      <c r="D47" s="15"/>
      <c r="E47" s="15"/>
      <c r="F47" s="16"/>
      <c r="G47" s="17"/>
      <c r="H47" s="5"/>
      <c r="I47" s="5"/>
      <c r="J47" s="15"/>
      <c r="K47" s="15"/>
      <c r="L47" s="16"/>
      <c r="M47" s="17"/>
      <c r="N47" s="15"/>
      <c r="O47" s="15"/>
      <c r="P47" s="15"/>
      <c r="Q47" s="15"/>
      <c r="R47" s="15"/>
      <c r="S47" s="2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x14ac:dyDescent="0.3">
      <c r="B48" s="5"/>
      <c r="C48" s="5"/>
      <c r="D48" s="15"/>
      <c r="E48" s="15"/>
      <c r="F48" s="16"/>
      <c r="G48" s="17"/>
      <c r="H48" s="5"/>
      <c r="I48" s="5"/>
      <c r="J48" s="15"/>
      <c r="K48" s="15"/>
      <c r="L48" s="16"/>
      <c r="M48" s="17"/>
      <c r="N48" s="15"/>
      <c r="O48" s="15"/>
      <c r="P48" s="15"/>
      <c r="Q48" s="15"/>
      <c r="R48" s="15"/>
      <c r="S48" s="2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2:35" x14ac:dyDescent="0.3">
      <c r="B49" s="5"/>
      <c r="C49" s="5"/>
      <c r="D49" s="15"/>
      <c r="E49" s="15"/>
      <c r="F49" s="16"/>
      <c r="G49" s="17"/>
      <c r="H49" s="5"/>
      <c r="I49" s="5"/>
      <c r="J49" s="15"/>
      <c r="K49" s="15"/>
      <c r="L49" s="16"/>
      <c r="M49" s="17"/>
      <c r="N49" s="15"/>
      <c r="O49" s="15"/>
      <c r="P49" s="15"/>
      <c r="Q49" s="15"/>
      <c r="R49" s="15"/>
      <c r="S49" s="2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2:35" x14ac:dyDescent="0.3">
      <c r="B50" s="5"/>
      <c r="C50" s="5"/>
      <c r="D50" s="15"/>
      <c r="E50" s="15"/>
      <c r="F50" s="16"/>
      <c r="G50" s="17"/>
      <c r="H50" s="5"/>
      <c r="I50" s="5"/>
      <c r="J50" s="15"/>
      <c r="K50" s="15"/>
      <c r="L50" s="16"/>
      <c r="M50" s="17"/>
      <c r="N50" s="15"/>
      <c r="O50" s="15"/>
      <c r="P50" s="15"/>
      <c r="Q50" s="15"/>
      <c r="R50" s="15"/>
      <c r="S50" s="25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2:35" x14ac:dyDescent="0.3">
      <c r="B51" s="5"/>
      <c r="C51" s="5"/>
      <c r="D51" s="15"/>
      <c r="E51" s="15"/>
      <c r="F51" s="16"/>
      <c r="G51" s="17"/>
      <c r="H51" s="5"/>
      <c r="I51" s="5"/>
      <c r="J51" s="15"/>
      <c r="K51" s="15"/>
      <c r="L51" s="16"/>
      <c r="M51" s="17"/>
      <c r="N51" s="15"/>
      <c r="O51" s="15"/>
      <c r="P51" s="15"/>
      <c r="Q51" s="15"/>
      <c r="R51" s="15"/>
      <c r="S51" s="2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2:35" x14ac:dyDescent="0.3">
      <c r="B52" s="5"/>
      <c r="C52" s="5"/>
      <c r="D52" s="15"/>
      <c r="E52" s="15"/>
      <c r="F52" s="16"/>
      <c r="G52" s="17"/>
      <c r="H52" s="5"/>
      <c r="I52" s="5"/>
      <c r="J52" s="15"/>
      <c r="K52" s="15"/>
      <c r="L52" s="16"/>
      <c r="M52" s="17"/>
      <c r="N52" s="15"/>
      <c r="O52" s="15"/>
      <c r="P52" s="15"/>
      <c r="Q52" s="15"/>
      <c r="R52" s="15"/>
      <c r="S52" s="2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2:35" x14ac:dyDescent="0.3">
      <c r="B53" s="5"/>
      <c r="C53" s="5"/>
      <c r="D53" s="15"/>
      <c r="E53" s="15"/>
      <c r="F53" s="16"/>
      <c r="G53" s="17"/>
      <c r="H53" s="5"/>
      <c r="I53" s="5"/>
      <c r="J53" s="15"/>
      <c r="K53" s="15"/>
      <c r="L53" s="16"/>
      <c r="M53" s="17"/>
      <c r="N53" s="15"/>
      <c r="O53" s="15"/>
      <c r="P53" s="15"/>
      <c r="Q53" s="15"/>
      <c r="R53" s="15"/>
      <c r="S53" s="2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2:35" x14ac:dyDescent="0.3">
      <c r="B54" s="5"/>
      <c r="C54" s="5"/>
      <c r="D54" s="15"/>
      <c r="E54" s="15"/>
      <c r="F54" s="16"/>
      <c r="G54" s="17"/>
      <c r="H54" s="5"/>
      <c r="I54" s="5"/>
      <c r="J54" s="15"/>
      <c r="K54" s="15"/>
      <c r="L54" s="16"/>
      <c r="M54" s="17"/>
      <c r="N54" s="15"/>
      <c r="O54" s="15"/>
      <c r="P54" s="15"/>
      <c r="Q54" s="15"/>
      <c r="R54" s="15"/>
      <c r="S54" s="2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2:35" x14ac:dyDescent="0.3">
      <c r="B55" s="5"/>
      <c r="C55" s="5"/>
      <c r="D55" s="15"/>
      <c r="E55" s="15"/>
      <c r="F55" s="16"/>
      <c r="G55" s="17"/>
      <c r="H55" s="5"/>
      <c r="I55" s="5"/>
      <c r="J55" s="15"/>
      <c r="K55" s="15"/>
      <c r="L55" s="16"/>
      <c r="M55" s="17"/>
      <c r="N55" s="15"/>
      <c r="O55" s="15"/>
      <c r="P55" s="15"/>
      <c r="Q55" s="15"/>
      <c r="R55" s="15"/>
      <c r="S55" s="2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2:35" x14ac:dyDescent="0.3">
      <c r="B56" s="5"/>
      <c r="C56" s="5"/>
      <c r="D56" s="15"/>
      <c r="E56" s="15"/>
      <c r="F56" s="16"/>
      <c r="G56" s="17"/>
      <c r="H56" s="5"/>
      <c r="I56" s="5"/>
      <c r="J56" s="15"/>
      <c r="K56" s="15"/>
      <c r="L56" s="16"/>
      <c r="M56" s="17"/>
      <c r="N56" s="15"/>
      <c r="O56" s="15"/>
      <c r="P56" s="15"/>
      <c r="Q56" s="15"/>
      <c r="R56" s="15"/>
      <c r="S56" s="25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2:35" x14ac:dyDescent="0.3">
      <c r="B57" s="5"/>
      <c r="C57" s="5"/>
      <c r="D57" s="15"/>
      <c r="E57" s="15"/>
      <c r="F57" s="16"/>
      <c r="G57" s="17"/>
      <c r="H57" s="5"/>
      <c r="I57" s="5"/>
      <c r="J57" s="15"/>
      <c r="K57" s="15"/>
      <c r="L57" s="16"/>
      <c r="M57" s="17"/>
      <c r="N57" s="15"/>
      <c r="O57" s="15"/>
      <c r="P57" s="15"/>
      <c r="Q57" s="15"/>
      <c r="R57" s="15"/>
      <c r="S57" s="2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2:35" x14ac:dyDescent="0.3">
      <c r="B58" s="5"/>
      <c r="C58" s="5"/>
      <c r="D58" s="15"/>
      <c r="E58" s="15"/>
      <c r="F58" s="16"/>
      <c r="G58" s="17"/>
      <c r="H58" s="5"/>
      <c r="I58" s="5"/>
      <c r="J58" s="15"/>
      <c r="K58" s="15"/>
      <c r="L58" s="16"/>
      <c r="M58" s="17"/>
      <c r="N58" s="15"/>
      <c r="O58" s="15"/>
      <c r="P58" s="15"/>
      <c r="Q58" s="15"/>
      <c r="R58" s="15"/>
      <c r="S58" s="2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2:35" x14ac:dyDescent="0.3">
      <c r="B59" s="5"/>
      <c r="C59" s="5"/>
      <c r="D59" s="15"/>
      <c r="E59" s="15"/>
      <c r="F59" s="16"/>
      <c r="G59" s="17"/>
      <c r="H59" s="5"/>
      <c r="I59" s="5"/>
      <c r="J59" s="15"/>
      <c r="K59" s="15"/>
      <c r="L59" s="16"/>
      <c r="M59" s="17"/>
      <c r="N59" s="15"/>
      <c r="O59" s="15"/>
      <c r="P59" s="15"/>
      <c r="Q59" s="15"/>
      <c r="R59" s="15"/>
      <c r="S59" s="2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2:35" x14ac:dyDescent="0.3">
      <c r="B60" s="5"/>
      <c r="C60" s="5"/>
      <c r="D60" s="15"/>
      <c r="E60" s="15"/>
      <c r="F60" s="16"/>
      <c r="G60" s="17"/>
      <c r="H60" s="5"/>
      <c r="I60" s="5"/>
      <c r="J60" s="15"/>
      <c r="K60" s="15"/>
      <c r="L60" s="16"/>
      <c r="M60" s="17"/>
      <c r="N60" s="15"/>
      <c r="O60" s="15"/>
      <c r="P60" s="15"/>
      <c r="Q60" s="15"/>
      <c r="R60" s="15"/>
      <c r="S60" s="2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2:35" x14ac:dyDescent="0.3">
      <c r="B61" s="5"/>
      <c r="C61" s="5"/>
      <c r="D61" s="15"/>
      <c r="E61" s="15"/>
      <c r="F61" s="16"/>
      <c r="G61" s="17"/>
      <c r="H61" s="5"/>
      <c r="I61" s="5"/>
      <c r="J61" s="15"/>
      <c r="K61" s="15"/>
      <c r="L61" s="16"/>
      <c r="M61" s="17"/>
      <c r="N61" s="15"/>
      <c r="O61" s="15"/>
      <c r="P61" s="15"/>
      <c r="Q61" s="15"/>
      <c r="R61" s="15"/>
      <c r="S61" s="2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2:35" x14ac:dyDescent="0.3">
      <c r="B62" s="5"/>
      <c r="C62" s="5"/>
      <c r="D62" s="15"/>
      <c r="E62" s="15"/>
      <c r="F62" s="16"/>
      <c r="G62" s="17"/>
      <c r="H62" s="5"/>
      <c r="I62" s="5"/>
      <c r="J62" s="15"/>
      <c r="K62" s="15"/>
      <c r="L62" s="16"/>
      <c r="M62" s="17"/>
      <c r="N62" s="15"/>
      <c r="O62" s="15"/>
      <c r="P62" s="15"/>
      <c r="Q62" s="15"/>
      <c r="R62" s="15"/>
      <c r="S62" s="2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2:35" x14ac:dyDescent="0.3">
      <c r="B63" s="5"/>
      <c r="C63" s="5"/>
      <c r="D63" s="15"/>
      <c r="E63" s="15"/>
      <c r="F63" s="16"/>
      <c r="G63" s="17"/>
      <c r="H63" s="5"/>
      <c r="I63" s="5"/>
      <c r="J63" s="15"/>
      <c r="K63" s="15"/>
      <c r="L63" s="16"/>
      <c r="M63" s="17"/>
      <c r="N63" s="15"/>
      <c r="O63" s="15"/>
      <c r="P63" s="15"/>
      <c r="Q63" s="15"/>
      <c r="R63" s="15"/>
      <c r="S63" s="2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2:35" x14ac:dyDescent="0.3">
      <c r="B64" s="5"/>
      <c r="C64" s="5"/>
      <c r="D64" s="15"/>
      <c r="E64" s="15"/>
      <c r="F64" s="16"/>
      <c r="G64" s="17"/>
      <c r="H64" s="5"/>
      <c r="I64" s="5"/>
      <c r="J64" s="15"/>
      <c r="K64" s="15"/>
      <c r="L64" s="16"/>
      <c r="M64" s="17"/>
      <c r="N64" s="15"/>
      <c r="O64" s="15"/>
      <c r="P64" s="15"/>
      <c r="Q64" s="15"/>
      <c r="R64" s="15"/>
      <c r="S64" s="2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2:35" x14ac:dyDescent="0.3">
      <c r="B65" s="5"/>
      <c r="C65" s="5"/>
      <c r="D65" s="15"/>
      <c r="E65" s="15"/>
      <c r="F65" s="16"/>
      <c r="G65" s="17"/>
      <c r="H65" s="5"/>
      <c r="I65" s="5"/>
      <c r="J65" s="15"/>
      <c r="K65" s="15"/>
      <c r="L65" s="16"/>
      <c r="M65" s="17"/>
      <c r="N65" s="15"/>
      <c r="O65" s="15"/>
      <c r="P65" s="15"/>
      <c r="Q65" s="15"/>
      <c r="R65" s="15"/>
      <c r="S65" s="2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2:35" x14ac:dyDescent="0.3">
      <c r="B66" s="5"/>
      <c r="C66" s="5"/>
      <c r="D66" s="15"/>
      <c r="E66" s="15"/>
      <c r="F66" s="16"/>
      <c r="G66" s="17"/>
      <c r="H66" s="5"/>
      <c r="I66" s="5"/>
      <c r="J66" s="15"/>
      <c r="K66" s="15"/>
      <c r="L66" s="16"/>
      <c r="M66" s="17"/>
      <c r="N66" s="15"/>
      <c r="O66" s="15"/>
      <c r="P66" s="15"/>
      <c r="Q66" s="15"/>
      <c r="R66" s="15"/>
      <c r="S66" s="2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2:35" x14ac:dyDescent="0.3">
      <c r="B67" s="5"/>
      <c r="C67" s="5"/>
      <c r="D67" s="15"/>
      <c r="E67" s="15"/>
      <c r="F67" s="16"/>
      <c r="G67" s="17"/>
      <c r="H67" s="5"/>
      <c r="I67" s="5"/>
      <c r="J67" s="15"/>
      <c r="K67" s="15"/>
      <c r="L67" s="16"/>
      <c r="M67" s="17"/>
      <c r="N67" s="15"/>
      <c r="O67" s="15"/>
      <c r="P67" s="15"/>
      <c r="Q67" s="15"/>
      <c r="R67" s="15"/>
      <c r="S67" s="25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2:35" x14ac:dyDescent="0.3">
      <c r="B68" s="5"/>
      <c r="C68" s="5"/>
      <c r="D68" s="15"/>
      <c r="E68" s="15"/>
      <c r="F68" s="16"/>
      <c r="G68" s="17"/>
      <c r="H68" s="5"/>
      <c r="I68" s="5"/>
      <c r="J68" s="15"/>
      <c r="K68" s="15"/>
      <c r="L68" s="16"/>
      <c r="M68" s="17"/>
      <c r="N68" s="15"/>
      <c r="O68" s="15"/>
      <c r="P68" s="15"/>
      <c r="Q68" s="15"/>
      <c r="R68" s="15"/>
      <c r="S68" s="25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2:35" x14ac:dyDescent="0.3">
      <c r="B69" s="5"/>
      <c r="C69" s="5"/>
      <c r="D69" s="15"/>
      <c r="E69" s="15"/>
      <c r="F69" s="16"/>
      <c r="G69" s="17"/>
      <c r="H69" s="5"/>
      <c r="I69" s="5"/>
      <c r="J69" s="15"/>
      <c r="K69" s="15"/>
      <c r="L69" s="16"/>
      <c r="M69" s="17"/>
      <c r="N69" s="15"/>
      <c r="O69" s="15"/>
      <c r="P69" s="15"/>
      <c r="Q69" s="15"/>
      <c r="R69" s="15"/>
      <c r="S69" s="25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2:35" x14ac:dyDescent="0.3">
      <c r="B70" s="5"/>
      <c r="C70" s="5"/>
      <c r="D70" s="15"/>
      <c r="E70" s="15"/>
      <c r="F70" s="16"/>
      <c r="G70" s="17"/>
      <c r="H70" s="5"/>
      <c r="I70" s="5"/>
      <c r="J70" s="15"/>
      <c r="K70" s="15"/>
      <c r="L70" s="16"/>
      <c r="M70" s="17"/>
      <c r="N70" s="15"/>
      <c r="O70" s="15"/>
      <c r="P70" s="15"/>
      <c r="Q70" s="15"/>
      <c r="R70" s="15"/>
      <c r="S70" s="25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2:35" x14ac:dyDescent="0.3">
      <c r="B71" s="5"/>
      <c r="C71" s="5"/>
      <c r="D71" s="15"/>
      <c r="E71" s="15"/>
      <c r="F71" s="16"/>
      <c r="G71" s="17"/>
      <c r="H71" s="5"/>
      <c r="I71" s="5"/>
      <c r="J71" s="15"/>
      <c r="K71" s="15"/>
      <c r="L71" s="16"/>
      <c r="M71" s="17"/>
      <c r="N71" s="15"/>
      <c r="O71" s="15"/>
      <c r="P71" s="15"/>
      <c r="Q71" s="15"/>
      <c r="R71" s="15"/>
      <c r="S71" s="25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2:35" x14ac:dyDescent="0.3">
      <c r="B72" s="5"/>
      <c r="C72" s="5"/>
      <c r="D72" s="15"/>
      <c r="E72" s="15"/>
      <c r="F72" s="16"/>
      <c r="G72" s="17"/>
      <c r="H72" s="5"/>
      <c r="I72" s="5"/>
      <c r="J72" s="15"/>
      <c r="K72" s="15"/>
      <c r="L72" s="16"/>
      <c r="M72" s="17"/>
      <c r="N72" s="15"/>
      <c r="O72" s="15"/>
      <c r="P72" s="15"/>
      <c r="Q72" s="15"/>
      <c r="R72" s="15"/>
      <c r="S72" s="25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2:35" x14ac:dyDescent="0.3">
      <c r="B73" s="5"/>
      <c r="C73" s="5"/>
      <c r="D73" s="15"/>
      <c r="E73" s="15"/>
      <c r="F73" s="16"/>
      <c r="G73" s="17"/>
      <c r="H73" s="5"/>
      <c r="I73" s="5"/>
      <c r="J73" s="15"/>
      <c r="K73" s="15"/>
      <c r="L73" s="16"/>
      <c r="M73" s="17"/>
      <c r="N73" s="15"/>
      <c r="O73" s="15"/>
      <c r="P73" s="15"/>
      <c r="Q73" s="15"/>
      <c r="R73" s="15"/>
      <c r="S73" s="25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2:35" x14ac:dyDescent="0.3">
      <c r="B74" s="5"/>
      <c r="C74" s="5"/>
      <c r="D74" s="15"/>
      <c r="E74" s="15"/>
      <c r="F74" s="16"/>
      <c r="G74" s="17"/>
      <c r="H74" s="5"/>
      <c r="I74" s="5"/>
      <c r="J74" s="15"/>
      <c r="K74" s="15"/>
      <c r="L74" s="16"/>
      <c r="M74" s="17"/>
      <c r="N74" s="15"/>
      <c r="O74" s="15"/>
      <c r="P74" s="15"/>
      <c r="Q74" s="15"/>
      <c r="R74" s="15"/>
      <c r="S74" s="25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2:35" x14ac:dyDescent="0.3">
      <c r="B75" s="5"/>
      <c r="C75" s="5"/>
      <c r="D75" s="15"/>
      <c r="E75" s="15"/>
      <c r="F75" s="16"/>
      <c r="G75" s="17"/>
      <c r="H75" s="5"/>
      <c r="I75" s="5"/>
      <c r="J75" s="15"/>
      <c r="K75" s="15"/>
      <c r="L75" s="16"/>
      <c r="M75" s="17"/>
      <c r="N75" s="15"/>
      <c r="O75" s="15"/>
      <c r="P75" s="15"/>
      <c r="Q75" s="15"/>
      <c r="R75" s="15"/>
      <c r="S75" s="25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2:35" x14ac:dyDescent="0.3">
      <c r="B76" s="5"/>
      <c r="C76" s="5"/>
      <c r="D76" s="15"/>
      <c r="E76" s="15"/>
      <c r="F76" s="16"/>
      <c r="G76" s="17"/>
      <c r="H76" s="5"/>
      <c r="I76" s="5"/>
      <c r="J76" s="15"/>
      <c r="K76" s="15"/>
      <c r="L76" s="16"/>
      <c r="M76" s="17"/>
      <c r="N76" s="15"/>
      <c r="O76" s="15"/>
      <c r="P76" s="15"/>
      <c r="Q76" s="15"/>
      <c r="R76" s="15"/>
      <c r="S76" s="25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2:35" x14ac:dyDescent="0.3">
      <c r="B77" s="5"/>
      <c r="C77" s="5"/>
      <c r="D77" s="15"/>
      <c r="E77" s="15"/>
      <c r="F77" s="16"/>
      <c r="G77" s="17"/>
      <c r="H77" s="5"/>
      <c r="I77" s="5"/>
      <c r="J77" s="15"/>
      <c r="K77" s="15"/>
      <c r="L77" s="16"/>
      <c r="M77" s="17"/>
      <c r="N77" s="15"/>
      <c r="O77" s="15"/>
      <c r="P77" s="15"/>
      <c r="Q77" s="15"/>
      <c r="R77" s="15"/>
      <c r="S77" s="25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2:35" x14ac:dyDescent="0.3">
      <c r="B78" s="5"/>
      <c r="C78" s="5"/>
      <c r="D78" s="15"/>
      <c r="E78" s="15"/>
      <c r="F78" s="16"/>
      <c r="G78" s="17"/>
      <c r="H78" s="5"/>
      <c r="I78" s="5"/>
      <c r="J78" s="15"/>
      <c r="K78" s="15"/>
      <c r="L78" s="16"/>
      <c r="M78" s="17"/>
      <c r="N78" s="15"/>
      <c r="O78" s="15"/>
      <c r="P78" s="15"/>
      <c r="Q78" s="15"/>
      <c r="R78" s="15"/>
      <c r="S78" s="25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2:35" ht="15" thickBot="1" x14ac:dyDescent="0.35">
      <c r="B79" s="5"/>
      <c r="C79" s="5"/>
      <c r="D79" s="18"/>
      <c r="E79" s="18"/>
      <c r="F79" s="19"/>
      <c r="G79" s="17"/>
      <c r="H79" s="5"/>
      <c r="I79" s="5"/>
      <c r="J79" s="18"/>
      <c r="K79" s="18"/>
      <c r="L79" s="19"/>
      <c r="M79" s="17"/>
      <c r="N79" s="18"/>
      <c r="O79" s="18"/>
      <c r="P79" s="18"/>
      <c r="Q79" s="18"/>
      <c r="R79" s="18"/>
      <c r="S79" s="26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2:35" x14ac:dyDescent="0.3"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20:35" x14ac:dyDescent="0.3"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</sheetData>
  <mergeCells count="3">
    <mergeCell ref="B1:F3"/>
    <mergeCell ref="H1:L3"/>
    <mergeCell ref="N1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Gagik</dc:creator>
  <cp:lastModifiedBy>Gagik</cp:lastModifiedBy>
  <dcterms:created xsi:type="dcterms:W3CDTF">2015-06-05T18:17:20Z</dcterms:created>
  <dcterms:modified xsi:type="dcterms:W3CDTF">2019-07-23T09:47:07Z</dcterms:modified>
</cp:coreProperties>
</file>