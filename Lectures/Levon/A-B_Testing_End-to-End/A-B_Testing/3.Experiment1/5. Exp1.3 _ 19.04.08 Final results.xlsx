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Banners" sheetId="18" r:id="rId1"/>
    <sheet name="Data &amp; verdict" sheetId="13" r:id="rId2"/>
    <sheet name="Interesting" sheetId="2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13" l="1"/>
  <c r="I55" i="13"/>
  <c r="F57" i="13"/>
  <c r="F56" i="13"/>
  <c r="F55" i="13"/>
  <c r="I57" i="13" l="1"/>
  <c r="F33" i="13"/>
  <c r="F32" i="13"/>
  <c r="F31" i="13"/>
  <c r="I33" i="13" l="1"/>
  <c r="I32" i="13"/>
  <c r="I31" i="13"/>
  <c r="C19" i="13"/>
  <c r="C18" i="13"/>
  <c r="C17" i="13"/>
  <c r="D19" i="13" l="1"/>
  <c r="D18" i="13"/>
  <c r="D17" i="13"/>
  <c r="D9" i="13"/>
  <c r="D15" i="13" s="1"/>
  <c r="H9" i="13"/>
  <c r="H15" i="13" s="1"/>
  <c r="G9" i="13"/>
  <c r="G15" i="13" s="1"/>
  <c r="F9" i="13"/>
  <c r="F15" i="13" s="1"/>
  <c r="E9" i="13"/>
  <c r="E15" i="13" s="1"/>
  <c r="B9" i="13"/>
  <c r="B15" i="13" s="1"/>
  <c r="H13" i="13" l="1"/>
  <c r="H12" i="13"/>
  <c r="H11" i="13"/>
  <c r="H10" i="13"/>
  <c r="H7" i="13"/>
  <c r="H6" i="13"/>
  <c r="H5" i="13"/>
  <c r="H4" i="13"/>
  <c r="F19" i="13"/>
  <c r="F18" i="13"/>
  <c r="F17" i="13"/>
  <c r="F16" i="13"/>
  <c r="G19" i="13" l="1"/>
  <c r="H19" i="13" s="1"/>
  <c r="G18" i="13"/>
  <c r="H18" i="13" s="1"/>
  <c r="G17" i="13"/>
  <c r="H17" i="13" s="1"/>
  <c r="G16" i="13"/>
  <c r="H16" i="13" s="1"/>
  <c r="E19" i="13"/>
  <c r="E18" i="13"/>
  <c r="E17" i="13"/>
  <c r="E16" i="13"/>
</calcChain>
</file>

<file path=xl/sharedStrings.xml><?xml version="1.0" encoding="utf-8"?>
<sst xmlns="http://schemas.openxmlformats.org/spreadsheetml/2006/main" count="111" uniqueCount="53">
  <si>
    <t>Old data (for 8 groups, till 2019-03-18 13:10:00)</t>
  </si>
  <si>
    <t>New data (for 4 groups, from 2019-03-18 13:10:00)</t>
  </si>
  <si>
    <t>For the full period</t>
  </si>
  <si>
    <t>&lt;--Averaged over groups (0,4,5,6,7)</t>
  </si>
  <si>
    <t>Net subscribers</t>
  </si>
  <si>
    <t>From PopUps</t>
  </si>
  <si>
    <t>UserCount (2+ Ads)</t>
  </si>
  <si>
    <t>UserCount (Variants)</t>
  </si>
  <si>
    <t>Treatment group</t>
  </si>
  <si>
    <t>Subscription Count</t>
  </si>
  <si>
    <t>AdCount (Variants)</t>
  </si>
  <si>
    <t>Verdict</t>
  </si>
  <si>
    <t>Banner #6</t>
  </si>
  <si>
    <t>Banner #8</t>
  </si>
  <si>
    <t>Banner #9</t>
  </si>
  <si>
    <t>Banner seen - subscribed</t>
  </si>
  <si>
    <t>Banner seen - banner clicked</t>
  </si>
  <si>
    <t>Conversion</t>
  </si>
  <si>
    <t>Differences</t>
  </si>
  <si>
    <t>8 vs 9</t>
  </si>
  <si>
    <t>8 vs 6</t>
  </si>
  <si>
    <t>9 vs 6</t>
  </si>
  <si>
    <t>Strenght</t>
  </si>
  <si>
    <t>ProPageViewed</t>
  </si>
  <si>
    <t>AdSetId</t>
  </si>
  <si>
    <t>SubscribedUsers</t>
  </si>
  <si>
    <t>UsersWhoViewedProPage</t>
  </si>
  <si>
    <t>ProPageViews</t>
  </si>
  <si>
    <t>30 seconds</t>
  </si>
  <si>
    <t>1 minute</t>
  </si>
  <si>
    <t>10 minutes</t>
  </si>
  <si>
    <t>1 hour</t>
  </si>
  <si>
    <t>1 day</t>
  </si>
  <si>
    <t>7 days</t>
  </si>
  <si>
    <t xml:space="preserve">The DateDiff between ProPage impression and Ad impression is less than </t>
  </si>
  <si>
    <t>Period is starting from 27.03.2019, 22:25 UTC.</t>
  </si>
  <si>
    <t>30 seconds &amp; subscribed in 10 minutes</t>
  </si>
  <si>
    <t>7 days &amp; subscribed in 10 minutes</t>
  </si>
  <si>
    <t xml:space="preserve">The DateDiff between ProPage impression and subscription is less than </t>
  </si>
  <si>
    <t>30 seconds &amp; subscribed in 1 hour</t>
  </si>
  <si>
    <t>7 days &amp; subscribed in 1 hour</t>
  </si>
  <si>
    <t>30 seconds &amp; subscribed in 1 day</t>
  </si>
  <si>
    <t>7 days &amp; subscribed in 1 day</t>
  </si>
  <si>
    <r>
      <t xml:space="preserve">We don't have enough evidence to conclude that any of the banners was more effective than the others in </t>
    </r>
    <r>
      <rPr>
        <sz val="22"/>
        <color rgb="FF0070C0"/>
        <rFont val="Calibri"/>
        <family val="2"/>
        <charset val="204"/>
        <scheme val="minor"/>
      </rPr>
      <t xml:space="preserve">"Banner seen --&gt;&gt; Subscribed" </t>
    </r>
    <r>
      <rPr>
        <sz val="22"/>
        <color theme="1"/>
        <rFont val="Calibri"/>
        <family val="2"/>
        <scheme val="minor"/>
      </rPr>
      <t>channel.</t>
    </r>
  </si>
  <si>
    <r>
      <t xml:space="preserve">We can make the following two conclusions about the channel </t>
    </r>
    <r>
      <rPr>
        <sz val="16"/>
        <color rgb="FF0070C0"/>
        <rFont val="Calibri"/>
        <family val="2"/>
        <charset val="204"/>
        <scheme val="minor"/>
      </rPr>
      <t xml:space="preserve">"Banner seen --&gt;&gt; Banner clicked" </t>
    </r>
    <r>
      <rPr>
        <sz val="16"/>
        <color theme="1"/>
        <rFont val="Calibri"/>
        <family val="2"/>
        <scheme val="minor"/>
      </rPr>
      <t xml:space="preserve">with a very high confidence:
1. Banner #8 was 1.34 times more effective than banner #6.
2. Banner #9 was 1.29 times more effective than banner #6.
However, we don't have enough evidence to state that banner #8 was better than baner #9.
</t>
    </r>
    <r>
      <rPr>
        <sz val="16"/>
        <color rgb="FF00B050"/>
        <rFont val="Calibri"/>
        <family val="2"/>
        <charset val="204"/>
        <scheme val="minor"/>
      </rPr>
      <t>For more info, please visit the sheet "Interesting".</t>
    </r>
  </si>
  <si>
    <t>10 minutes &amp; subscribed in 1 hour</t>
  </si>
  <si>
    <t>Period is starting from 04.04.2019, 10:19 UTC.</t>
  </si>
  <si>
    <t>Banner #16</t>
  </si>
  <si>
    <t>1 (16)</t>
  </si>
  <si>
    <t>2 (8)</t>
  </si>
  <si>
    <t>3 (9)</t>
  </si>
  <si>
    <t>16 vs 8</t>
  </si>
  <si>
    <t>16 vs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</si>
</sst>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%"/>
    <numFmt numFmtId="165" formatCode="_-* #,##0.0000_-;\-* #,##0.00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b/>
      <sz val="20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rgb="FFFF0000"/>
      <name val="Calibri"/>
      <family val="2"/>
      <charset val="204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22"/>
      <color rgb="FF0070C0"/>
      <name val="Calibri"/>
      <family val="2"/>
      <charset val="204"/>
      <scheme val="minor"/>
    </font>
    <font>
      <sz val="16"/>
      <color rgb="FF0070C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6"/>
      <color rgb="FF00B05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1" fontId="2" fillId="0" borderId="1" xfId="0" applyNumberFormat="1" applyFont="1" applyFill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0" xfId="0" applyAlignment="1">
      <alignment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" fillId="0" borderId="1" xfId="0" applyFont="1" applyBorder="1" applyAlignment="1"/>
    <xf numFmtId="0" fontId="0" fillId="0" borderId="0" xfId="0" applyAlignment="1"/>
    <xf numFmtId="0" fontId="0" fillId="0" borderId="0" xfId="0" applyBorder="1"/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/>
    <xf numFmtId="0" fontId="0" fillId="0" borderId="19" xfId="0" applyFill="1" applyBorder="1"/>
    <xf numFmtId="0" fontId="0" fillId="0" borderId="20" xfId="0" applyBorder="1"/>
    <xf numFmtId="1" fontId="1" fillId="0" borderId="17" xfId="0" applyNumberFormat="1" applyFont="1" applyBorder="1"/>
    <xf numFmtId="0" fontId="1" fillId="0" borderId="17" xfId="0" applyFont="1" applyBorder="1"/>
    <xf numFmtId="1" fontId="2" fillId="0" borderId="17" xfId="0" applyNumberFormat="1" applyFont="1" applyBorder="1"/>
    <xf numFmtId="0" fontId="1" fillId="3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0" xfId="0" applyFill="1" applyBorder="1"/>
    <xf numFmtId="0" fontId="0" fillId="5" borderId="0" xfId="0" applyFill="1" applyAlignment="1">
      <alignment wrapText="1"/>
    </xf>
    <xf numFmtId="0" fontId="2" fillId="5" borderId="0" xfId="0" applyFont="1" applyFill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9" xfId="0" applyFont="1" applyBorder="1" applyAlignment="1"/>
    <xf numFmtId="0" fontId="0" fillId="0" borderId="29" xfId="0" applyFill="1" applyBorder="1"/>
    <xf numFmtId="0" fontId="1" fillId="0" borderId="30" xfId="0" applyFont="1" applyBorder="1"/>
    <xf numFmtId="0" fontId="0" fillId="6" borderId="2" xfId="0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 applyAlignment="1"/>
    <xf numFmtId="0" fontId="0" fillId="6" borderId="3" xfId="0" applyFill="1" applyBorder="1"/>
    <xf numFmtId="0" fontId="0" fillId="6" borderId="5" xfId="0" applyFill="1" applyBorder="1"/>
    <xf numFmtId="0" fontId="0" fillId="6" borderId="6" xfId="0" applyFill="1" applyBorder="1" applyAlignment="1">
      <alignment horizontal="center"/>
    </xf>
    <xf numFmtId="0" fontId="0" fillId="6" borderId="6" xfId="0" applyFill="1" applyBorder="1" applyAlignment="1"/>
    <xf numFmtId="0" fontId="0" fillId="6" borderId="6" xfId="0" applyFill="1" applyBorder="1"/>
    <xf numFmtId="164" fontId="0" fillId="0" borderId="1" xfId="2" applyNumberFormat="1" applyFont="1" applyFill="1" applyBorder="1"/>
    <xf numFmtId="165" fontId="0" fillId="0" borderId="1" xfId="1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textRotation="90"/>
    </xf>
    <xf numFmtId="0" fontId="7" fillId="0" borderId="25" xfId="0" applyFont="1" applyBorder="1" applyAlignment="1">
      <alignment horizontal="center" vertical="center" textRotation="90"/>
    </xf>
    <xf numFmtId="0" fontId="7" fillId="0" borderId="26" xfId="0" applyFont="1" applyBorder="1" applyAlignment="1">
      <alignment horizontal="center" vertical="center" textRotation="90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5</xdr:row>
      <xdr:rowOff>99060</xdr:rowOff>
    </xdr:from>
    <xdr:to>
      <xdr:col>9</xdr:col>
      <xdr:colOff>7620</xdr:colOff>
      <xdr:row>21</xdr:row>
      <xdr:rowOff>8890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1760220"/>
          <a:ext cx="4861560" cy="2835910"/>
        </a:xfrm>
        <a:prstGeom prst="rect">
          <a:avLst/>
        </a:prstGeom>
      </xdr:spPr>
    </xdr:pic>
    <xdr:clientData/>
  </xdr:twoCellAnchor>
  <xdr:twoCellAnchor editAs="oneCell">
    <xdr:from>
      <xdr:col>9</xdr:col>
      <xdr:colOff>43320</xdr:colOff>
      <xdr:row>5</xdr:row>
      <xdr:rowOff>144780</xdr:rowOff>
    </xdr:from>
    <xdr:to>
      <xdr:col>16</xdr:col>
      <xdr:colOff>571740</xdr:colOff>
      <xdr:row>21</xdr:row>
      <xdr:rowOff>16145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720" y="1805940"/>
          <a:ext cx="4795620" cy="279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10440</xdr:colOff>
      <xdr:row>5</xdr:row>
      <xdr:rowOff>121920</xdr:rowOff>
    </xdr:from>
    <xdr:to>
      <xdr:col>24</xdr:col>
      <xdr:colOff>575246</xdr:colOff>
      <xdr:row>21</xdr:row>
      <xdr:rowOff>14510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3640" y="1783080"/>
          <a:ext cx="4832006" cy="2818670"/>
        </a:xfrm>
        <a:prstGeom prst="rect">
          <a:avLst/>
        </a:prstGeom>
      </xdr:spPr>
    </xdr:pic>
    <xdr:clientData/>
  </xdr:twoCellAnchor>
  <xdr:twoCellAnchor editAs="oneCell">
    <xdr:from>
      <xdr:col>1</xdr:col>
      <xdr:colOff>44303</xdr:colOff>
      <xdr:row>27</xdr:row>
      <xdr:rowOff>5168</xdr:rowOff>
    </xdr:from>
    <xdr:to>
      <xdr:col>8</xdr:col>
      <xdr:colOff>558210</xdr:colOff>
      <xdr:row>42</xdr:row>
      <xdr:rowOff>10336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675" y="5073354"/>
          <a:ext cx="4793512" cy="2796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24</xdr:row>
      <xdr:rowOff>53340</xdr:rowOff>
    </xdr:from>
    <xdr:to>
      <xdr:col>6</xdr:col>
      <xdr:colOff>457200</xdr:colOff>
      <xdr:row>26</xdr:row>
      <xdr:rowOff>137160</xdr:rowOff>
    </xdr:to>
    <xdr:sp macro="" textlink="">
      <xdr:nvSpPr>
        <xdr:cNvPr id="5" name="Rectangular Callout 4"/>
        <xdr:cNvSpPr/>
      </xdr:nvSpPr>
      <xdr:spPr>
        <a:xfrm>
          <a:off x="2636520" y="5829300"/>
          <a:ext cx="2659380" cy="457200"/>
        </a:xfrm>
        <a:prstGeom prst="wedgeRectCallout">
          <a:avLst>
            <a:gd name="adj1" fmla="val -21290"/>
            <a:gd name="adj2" fmla="val 86824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DateDiff between ProPage impression and Ad impression is</a:t>
          </a:r>
          <a:r>
            <a:rPr lang="en-GB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less than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30 seconds.</a:t>
          </a:r>
          <a:endParaRPr lang="en-GB" sz="1100"/>
        </a:p>
      </xdr:txBody>
    </xdr:sp>
    <xdr:clientData/>
  </xdr:twoCellAnchor>
  <xdr:twoCellAnchor>
    <xdr:from>
      <xdr:col>3</xdr:col>
      <xdr:colOff>685800</xdr:colOff>
      <xdr:row>48</xdr:row>
      <xdr:rowOff>53340</xdr:rowOff>
    </xdr:from>
    <xdr:to>
      <xdr:col>6</xdr:col>
      <xdr:colOff>457200</xdr:colOff>
      <xdr:row>50</xdr:row>
      <xdr:rowOff>137160</xdr:rowOff>
    </xdr:to>
    <xdr:sp macro="" textlink="">
      <xdr:nvSpPr>
        <xdr:cNvPr id="4" name="Rectangular Callout 3"/>
        <xdr:cNvSpPr/>
      </xdr:nvSpPr>
      <xdr:spPr>
        <a:xfrm>
          <a:off x="2636520" y="5829300"/>
          <a:ext cx="2659380" cy="457200"/>
        </a:xfrm>
        <a:prstGeom prst="wedgeRectCallout">
          <a:avLst>
            <a:gd name="adj1" fmla="val -21290"/>
            <a:gd name="adj2" fmla="val 86824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DateDiff between ProPage impression and Ad impression is</a:t>
          </a:r>
          <a:r>
            <a:rPr lang="en-GB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less than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30 seconds.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3"/>
  <sheetViews>
    <sheetView zoomScale="86" workbookViewId="0">
      <selection activeCell="L30" sqref="L30"/>
    </sheetView>
  </sheetViews>
  <sheetFormatPr defaultRowHeight="14.4" x14ac:dyDescent="0.3"/>
  <sheetData>
    <row r="2" spans="2:25" ht="15" thickBot="1" x14ac:dyDescent="0.35"/>
    <row r="3" spans="2:25" x14ac:dyDescent="0.3">
      <c r="B3" s="56" t="s">
        <v>12</v>
      </c>
      <c r="C3" s="57"/>
      <c r="D3" s="57"/>
      <c r="E3" s="57"/>
      <c r="F3" s="57"/>
      <c r="G3" s="57"/>
      <c r="H3" s="57"/>
      <c r="I3" s="58"/>
      <c r="J3" s="56" t="s">
        <v>13</v>
      </c>
      <c r="K3" s="57"/>
      <c r="L3" s="57"/>
      <c r="M3" s="57"/>
      <c r="N3" s="57"/>
      <c r="O3" s="57"/>
      <c r="P3" s="57"/>
      <c r="Q3" s="58"/>
      <c r="R3" s="56" t="s">
        <v>14</v>
      </c>
      <c r="S3" s="57"/>
      <c r="T3" s="57"/>
      <c r="U3" s="57"/>
      <c r="V3" s="57"/>
      <c r="W3" s="57"/>
      <c r="X3" s="57"/>
      <c r="Y3" s="58"/>
    </row>
    <row r="4" spans="2:25" x14ac:dyDescent="0.3">
      <c r="B4" s="59"/>
      <c r="C4" s="60"/>
      <c r="D4" s="60"/>
      <c r="E4" s="60"/>
      <c r="F4" s="60"/>
      <c r="G4" s="60"/>
      <c r="H4" s="60"/>
      <c r="I4" s="61"/>
      <c r="J4" s="59"/>
      <c r="K4" s="60"/>
      <c r="L4" s="60"/>
      <c r="M4" s="60"/>
      <c r="N4" s="60"/>
      <c r="O4" s="60"/>
      <c r="P4" s="60"/>
      <c r="Q4" s="61"/>
      <c r="R4" s="59"/>
      <c r="S4" s="60"/>
      <c r="T4" s="60"/>
      <c r="U4" s="60"/>
      <c r="V4" s="60"/>
      <c r="W4" s="60"/>
      <c r="X4" s="60"/>
      <c r="Y4" s="61"/>
    </row>
    <row r="5" spans="2:25" ht="15" thickBot="1" x14ac:dyDescent="0.35">
      <c r="B5" s="62"/>
      <c r="C5" s="63"/>
      <c r="D5" s="63"/>
      <c r="E5" s="63"/>
      <c r="F5" s="63"/>
      <c r="G5" s="63"/>
      <c r="H5" s="63"/>
      <c r="I5" s="64"/>
      <c r="J5" s="62"/>
      <c r="K5" s="63"/>
      <c r="L5" s="63"/>
      <c r="M5" s="63"/>
      <c r="N5" s="63"/>
      <c r="O5" s="63"/>
      <c r="P5" s="63"/>
      <c r="Q5" s="64"/>
      <c r="R5" s="62"/>
      <c r="S5" s="63"/>
      <c r="T5" s="63"/>
      <c r="U5" s="63"/>
      <c r="V5" s="63"/>
      <c r="W5" s="63"/>
      <c r="X5" s="63"/>
      <c r="Y5" s="64"/>
    </row>
    <row r="6" spans="2:25" x14ac:dyDescent="0.3">
      <c r="B6" s="34"/>
      <c r="C6" s="12"/>
      <c r="D6" s="12"/>
      <c r="E6" s="12"/>
      <c r="F6" s="12"/>
      <c r="G6" s="12"/>
      <c r="H6" s="12"/>
      <c r="I6" s="35"/>
      <c r="J6" s="34"/>
      <c r="K6" s="12"/>
      <c r="L6" s="12"/>
      <c r="M6" s="12"/>
      <c r="N6" s="12"/>
      <c r="O6" s="12"/>
      <c r="P6" s="12"/>
      <c r="Q6" s="35"/>
      <c r="R6" s="34"/>
      <c r="S6" s="12"/>
      <c r="T6" s="12"/>
      <c r="U6" s="12"/>
      <c r="V6" s="12"/>
      <c r="W6" s="12"/>
      <c r="X6" s="12"/>
      <c r="Y6" s="35"/>
    </row>
    <row r="7" spans="2:25" x14ac:dyDescent="0.3">
      <c r="B7" s="34"/>
      <c r="C7" s="12"/>
      <c r="D7" s="12"/>
      <c r="E7" s="12"/>
      <c r="F7" s="12"/>
      <c r="G7" s="12"/>
      <c r="H7" s="12"/>
      <c r="I7" s="35"/>
      <c r="J7" s="34"/>
      <c r="K7" s="12"/>
      <c r="L7" s="12"/>
      <c r="M7" s="12"/>
      <c r="N7" s="12"/>
      <c r="O7" s="12"/>
      <c r="P7" s="12"/>
      <c r="Q7" s="35"/>
      <c r="R7" s="34"/>
      <c r="S7" s="12"/>
      <c r="T7" s="12"/>
      <c r="U7" s="12"/>
      <c r="V7" s="12"/>
      <c r="W7" s="12"/>
      <c r="X7" s="12"/>
      <c r="Y7" s="35"/>
    </row>
    <row r="8" spans="2:25" x14ac:dyDescent="0.3">
      <c r="B8" s="34"/>
      <c r="C8" s="12"/>
      <c r="D8" s="12"/>
      <c r="E8" s="12"/>
      <c r="F8" s="12"/>
      <c r="G8" s="12"/>
      <c r="H8" s="12"/>
      <c r="I8" s="35"/>
      <c r="J8" s="34"/>
      <c r="K8" s="12"/>
      <c r="L8" s="12"/>
      <c r="M8" s="12"/>
      <c r="N8" s="12"/>
      <c r="O8" s="12"/>
      <c r="P8" s="12"/>
      <c r="Q8" s="35"/>
      <c r="R8" s="34"/>
      <c r="S8" s="12"/>
      <c r="T8" s="12"/>
      <c r="U8" s="12"/>
      <c r="V8" s="12"/>
      <c r="W8" s="12"/>
      <c r="X8" s="12"/>
      <c r="Y8" s="35"/>
    </row>
    <row r="9" spans="2:25" x14ac:dyDescent="0.3">
      <c r="B9" s="34"/>
      <c r="C9" s="12"/>
      <c r="D9" s="12"/>
      <c r="E9" s="12"/>
      <c r="F9" s="12"/>
      <c r="G9" s="12"/>
      <c r="H9" s="12"/>
      <c r="I9" s="35"/>
      <c r="J9" s="34"/>
      <c r="K9" s="12"/>
      <c r="L9" s="12"/>
      <c r="M9" s="12"/>
      <c r="N9" s="12"/>
      <c r="O9" s="12"/>
      <c r="P9" s="12"/>
      <c r="Q9" s="35"/>
      <c r="R9" s="34"/>
      <c r="S9" s="12"/>
      <c r="T9" s="12"/>
      <c r="U9" s="12"/>
      <c r="V9" s="12"/>
      <c r="W9" s="12"/>
      <c r="X9" s="12"/>
      <c r="Y9" s="35"/>
    </row>
    <row r="10" spans="2:25" x14ac:dyDescent="0.3">
      <c r="B10" s="34"/>
      <c r="C10" s="12"/>
      <c r="D10" s="12"/>
      <c r="E10" s="12"/>
      <c r="F10" s="12"/>
      <c r="G10" s="12"/>
      <c r="H10" s="12"/>
      <c r="I10" s="35"/>
      <c r="J10" s="34"/>
      <c r="K10" s="12"/>
      <c r="L10" s="12"/>
      <c r="M10" s="12"/>
      <c r="N10" s="12"/>
      <c r="O10" s="12"/>
      <c r="P10" s="12"/>
      <c r="Q10" s="35"/>
      <c r="R10" s="34"/>
      <c r="S10" s="12"/>
      <c r="T10" s="12"/>
      <c r="U10" s="12"/>
      <c r="V10" s="12"/>
      <c r="W10" s="12"/>
      <c r="X10" s="12"/>
      <c r="Y10" s="35"/>
    </row>
    <row r="11" spans="2:25" x14ac:dyDescent="0.3">
      <c r="B11" s="34"/>
      <c r="C11" s="12"/>
      <c r="D11" s="12"/>
      <c r="E11" s="12"/>
      <c r="F11" s="12"/>
      <c r="G11" s="12"/>
      <c r="H11" s="12"/>
      <c r="I11" s="35"/>
      <c r="J11" s="34"/>
      <c r="K11" s="12"/>
      <c r="L11" s="12"/>
      <c r="M11" s="12"/>
      <c r="N11" s="12"/>
      <c r="O11" s="12"/>
      <c r="P11" s="12"/>
      <c r="Q11" s="35"/>
      <c r="R11" s="34"/>
      <c r="S11" s="12"/>
      <c r="T11" s="12"/>
      <c r="U11" s="12"/>
      <c r="V11" s="12"/>
      <c r="W11" s="12"/>
      <c r="X11" s="12"/>
      <c r="Y11" s="35"/>
    </row>
    <row r="12" spans="2:25" x14ac:dyDescent="0.3">
      <c r="B12" s="34"/>
      <c r="C12" s="12"/>
      <c r="D12" s="12"/>
      <c r="E12" s="12"/>
      <c r="F12" s="12"/>
      <c r="G12" s="12"/>
      <c r="H12" s="12"/>
      <c r="I12" s="35"/>
      <c r="J12" s="34"/>
      <c r="K12" s="12"/>
      <c r="L12" s="12"/>
      <c r="M12" s="12"/>
      <c r="N12" s="12"/>
      <c r="O12" s="12"/>
      <c r="P12" s="12"/>
      <c r="Q12" s="35"/>
      <c r="R12" s="34"/>
      <c r="S12" s="12"/>
      <c r="T12" s="12"/>
      <c r="U12" s="12"/>
      <c r="V12" s="12"/>
      <c r="W12" s="12"/>
      <c r="X12" s="12"/>
      <c r="Y12" s="35"/>
    </row>
    <row r="13" spans="2:25" x14ac:dyDescent="0.3">
      <c r="B13" s="34"/>
      <c r="C13" s="12"/>
      <c r="D13" s="12"/>
      <c r="E13" s="12"/>
      <c r="F13" s="12"/>
      <c r="G13" s="12"/>
      <c r="H13" s="12"/>
      <c r="I13" s="35"/>
      <c r="J13" s="34"/>
      <c r="K13" s="12"/>
      <c r="L13" s="12"/>
      <c r="M13" s="12"/>
      <c r="N13" s="12"/>
      <c r="O13" s="12"/>
      <c r="P13" s="12"/>
      <c r="Q13" s="35"/>
      <c r="R13" s="34"/>
      <c r="S13" s="12"/>
      <c r="T13" s="12"/>
      <c r="U13" s="12"/>
      <c r="V13" s="12"/>
      <c r="W13" s="12"/>
      <c r="X13" s="12"/>
      <c r="Y13" s="35"/>
    </row>
    <row r="14" spans="2:25" x14ac:dyDescent="0.3">
      <c r="B14" s="34"/>
      <c r="C14" s="12"/>
      <c r="D14" s="12"/>
      <c r="E14" s="12"/>
      <c r="F14" s="12"/>
      <c r="G14" s="12"/>
      <c r="H14" s="12"/>
      <c r="I14" s="35"/>
      <c r="J14" s="34"/>
      <c r="K14" s="12"/>
      <c r="L14" s="12"/>
      <c r="M14" s="12"/>
      <c r="N14" s="12"/>
      <c r="O14" s="12"/>
      <c r="P14" s="12"/>
      <c r="Q14" s="35"/>
      <c r="R14" s="34"/>
      <c r="S14" s="12"/>
      <c r="T14" s="12"/>
      <c r="U14" s="12"/>
      <c r="V14" s="12"/>
      <c r="W14" s="12"/>
      <c r="X14" s="12"/>
      <c r="Y14" s="35"/>
    </row>
    <row r="15" spans="2:25" x14ac:dyDescent="0.3">
      <c r="B15" s="34"/>
      <c r="C15" s="12"/>
      <c r="D15" s="12"/>
      <c r="E15" s="12"/>
      <c r="F15" s="12"/>
      <c r="G15" s="12"/>
      <c r="H15" s="12"/>
      <c r="I15" s="35"/>
      <c r="J15" s="34"/>
      <c r="K15" s="12"/>
      <c r="L15" s="12"/>
      <c r="M15" s="12"/>
      <c r="N15" s="12"/>
      <c r="O15" s="12"/>
      <c r="P15" s="12"/>
      <c r="Q15" s="35"/>
      <c r="R15" s="34"/>
      <c r="S15" s="12"/>
      <c r="T15" s="12"/>
      <c r="U15" s="12"/>
      <c r="V15" s="12"/>
      <c r="W15" s="12"/>
      <c r="X15" s="12"/>
      <c r="Y15" s="35"/>
    </row>
    <row r="16" spans="2:25" x14ac:dyDescent="0.3">
      <c r="B16" s="34"/>
      <c r="C16" s="12"/>
      <c r="D16" s="12"/>
      <c r="E16" s="12"/>
      <c r="F16" s="12"/>
      <c r="G16" s="12"/>
      <c r="H16" s="12"/>
      <c r="I16" s="35"/>
      <c r="J16" s="34"/>
      <c r="K16" s="12"/>
      <c r="L16" s="12"/>
      <c r="M16" s="12"/>
      <c r="N16" s="12"/>
      <c r="O16" s="12"/>
      <c r="P16" s="12"/>
      <c r="Q16" s="35"/>
      <c r="R16" s="34"/>
      <c r="S16" s="12"/>
      <c r="T16" s="12"/>
      <c r="U16" s="12"/>
      <c r="V16" s="12"/>
      <c r="W16" s="12"/>
      <c r="X16" s="12"/>
      <c r="Y16" s="35"/>
    </row>
    <row r="17" spans="2:25" x14ac:dyDescent="0.3">
      <c r="B17" s="34"/>
      <c r="C17" s="12"/>
      <c r="D17" s="12"/>
      <c r="E17" s="12"/>
      <c r="F17" s="12"/>
      <c r="G17" s="12"/>
      <c r="H17" s="12"/>
      <c r="I17" s="35"/>
      <c r="J17" s="34"/>
      <c r="K17" s="12"/>
      <c r="L17" s="12"/>
      <c r="M17" s="12"/>
      <c r="N17" s="12"/>
      <c r="O17" s="12"/>
      <c r="P17" s="12"/>
      <c r="Q17" s="35"/>
      <c r="R17" s="34"/>
      <c r="S17" s="12"/>
      <c r="T17" s="12"/>
      <c r="U17" s="12"/>
      <c r="V17" s="12"/>
      <c r="W17" s="12"/>
      <c r="X17" s="12"/>
      <c r="Y17" s="35"/>
    </row>
    <row r="18" spans="2:25" x14ac:dyDescent="0.3">
      <c r="B18" s="34"/>
      <c r="C18" s="12"/>
      <c r="D18" s="12"/>
      <c r="E18" s="12"/>
      <c r="F18" s="12"/>
      <c r="G18" s="12"/>
      <c r="H18" s="12"/>
      <c r="I18" s="35"/>
      <c r="J18" s="34"/>
      <c r="K18" s="12"/>
      <c r="L18" s="12"/>
      <c r="M18" s="12"/>
      <c r="N18" s="12"/>
      <c r="O18" s="12"/>
      <c r="P18" s="12"/>
      <c r="Q18" s="35"/>
      <c r="R18" s="34"/>
      <c r="S18" s="12"/>
      <c r="T18" s="12"/>
      <c r="U18" s="12"/>
      <c r="V18" s="12"/>
      <c r="W18" s="12"/>
      <c r="X18" s="12"/>
      <c r="Y18" s="35"/>
    </row>
    <row r="19" spans="2:25" x14ac:dyDescent="0.3">
      <c r="B19" s="34"/>
      <c r="C19" s="12"/>
      <c r="D19" s="12"/>
      <c r="E19" s="12"/>
      <c r="F19" s="12"/>
      <c r="G19" s="12"/>
      <c r="H19" s="12"/>
      <c r="I19" s="35"/>
      <c r="J19" s="34"/>
      <c r="K19" s="12"/>
      <c r="L19" s="12"/>
      <c r="M19" s="12"/>
      <c r="N19" s="12"/>
      <c r="O19" s="12"/>
      <c r="P19" s="12"/>
      <c r="Q19" s="35"/>
      <c r="R19" s="34"/>
      <c r="S19" s="12"/>
      <c r="T19" s="12"/>
      <c r="U19" s="12"/>
      <c r="V19" s="12"/>
      <c r="W19" s="12"/>
      <c r="X19" s="12"/>
      <c r="Y19" s="35"/>
    </row>
    <row r="20" spans="2:25" x14ac:dyDescent="0.3">
      <c r="B20" s="34"/>
      <c r="C20" s="12"/>
      <c r="D20" s="12"/>
      <c r="E20" s="12"/>
      <c r="F20" s="12"/>
      <c r="G20" s="12"/>
      <c r="H20" s="12"/>
      <c r="I20" s="35"/>
      <c r="J20" s="34"/>
      <c r="K20" s="12"/>
      <c r="L20" s="12"/>
      <c r="M20" s="12"/>
      <c r="N20" s="12"/>
      <c r="O20" s="12"/>
      <c r="P20" s="12"/>
      <c r="Q20" s="35"/>
      <c r="R20" s="34"/>
      <c r="S20" s="12"/>
      <c r="T20" s="12"/>
      <c r="U20" s="12"/>
      <c r="V20" s="12"/>
      <c r="W20" s="12"/>
      <c r="X20" s="12"/>
      <c r="Y20" s="35"/>
    </row>
    <row r="21" spans="2:25" x14ac:dyDescent="0.3">
      <c r="B21" s="34"/>
      <c r="C21" s="12"/>
      <c r="D21" s="12"/>
      <c r="E21" s="12"/>
      <c r="F21" s="12"/>
      <c r="G21" s="12"/>
      <c r="H21" s="12"/>
      <c r="I21" s="35"/>
      <c r="J21" s="34"/>
      <c r="K21" s="12"/>
      <c r="L21" s="12"/>
      <c r="M21" s="12"/>
      <c r="N21" s="12"/>
      <c r="O21" s="12"/>
      <c r="P21" s="12"/>
      <c r="Q21" s="35"/>
      <c r="R21" s="34"/>
      <c r="S21" s="12"/>
      <c r="T21" s="12"/>
      <c r="U21" s="12"/>
      <c r="V21" s="12"/>
      <c r="W21" s="12"/>
      <c r="X21" s="12"/>
      <c r="Y21" s="35"/>
    </row>
    <row r="22" spans="2:25" ht="15" thickBot="1" x14ac:dyDescent="0.35">
      <c r="B22" s="36"/>
      <c r="C22" s="37"/>
      <c r="D22" s="37"/>
      <c r="E22" s="37"/>
      <c r="F22" s="37"/>
      <c r="G22" s="37"/>
      <c r="H22" s="37"/>
      <c r="I22" s="38"/>
      <c r="J22" s="36"/>
      <c r="K22" s="37"/>
      <c r="L22" s="37"/>
      <c r="M22" s="37"/>
      <c r="N22" s="37"/>
      <c r="O22" s="37"/>
      <c r="P22" s="37"/>
      <c r="Q22" s="38"/>
      <c r="R22" s="36"/>
      <c r="S22" s="37"/>
      <c r="T22" s="37"/>
      <c r="U22" s="37"/>
      <c r="V22" s="37"/>
      <c r="W22" s="37"/>
      <c r="X22" s="37"/>
      <c r="Y22" s="38"/>
    </row>
    <row r="23" spans="2:25" ht="15" thickBot="1" x14ac:dyDescent="0.35"/>
    <row r="24" spans="2:25" x14ac:dyDescent="0.3">
      <c r="B24" s="56" t="s">
        <v>47</v>
      </c>
      <c r="C24" s="57"/>
      <c r="D24" s="57"/>
      <c r="E24" s="57"/>
      <c r="F24" s="57"/>
      <c r="G24" s="57"/>
      <c r="H24" s="57"/>
      <c r="I24" s="58"/>
    </row>
    <row r="25" spans="2:25" x14ac:dyDescent="0.3">
      <c r="B25" s="59"/>
      <c r="C25" s="60"/>
      <c r="D25" s="60"/>
      <c r="E25" s="60"/>
      <c r="F25" s="60"/>
      <c r="G25" s="60"/>
      <c r="H25" s="60"/>
      <c r="I25" s="61"/>
    </row>
    <row r="26" spans="2:25" ht="15" thickBot="1" x14ac:dyDescent="0.35">
      <c r="B26" s="62"/>
      <c r="C26" s="63"/>
      <c r="D26" s="63"/>
      <c r="E26" s="63"/>
      <c r="F26" s="63"/>
      <c r="G26" s="63"/>
      <c r="H26" s="63"/>
      <c r="I26" s="64"/>
    </row>
    <row r="27" spans="2:25" x14ac:dyDescent="0.3">
      <c r="B27" s="34"/>
      <c r="C27" s="12"/>
      <c r="D27" s="12"/>
      <c r="E27" s="12"/>
      <c r="F27" s="12"/>
      <c r="G27" s="12"/>
      <c r="H27" s="12"/>
      <c r="I27" s="35"/>
    </row>
    <row r="28" spans="2:25" x14ac:dyDescent="0.3">
      <c r="B28" s="34"/>
      <c r="C28" s="12"/>
      <c r="D28" s="12"/>
      <c r="E28" s="12"/>
      <c r="F28" s="12"/>
      <c r="G28" s="12"/>
      <c r="H28" s="12"/>
      <c r="I28" s="35"/>
    </row>
    <row r="29" spans="2:25" x14ac:dyDescent="0.3">
      <c r="B29" s="34"/>
      <c r="C29" s="12"/>
      <c r="D29" s="12"/>
      <c r="E29" s="12"/>
      <c r="F29" s="12"/>
      <c r="G29" s="12"/>
      <c r="H29" s="12"/>
      <c r="I29" s="35"/>
    </row>
    <row r="30" spans="2:25" x14ac:dyDescent="0.3">
      <c r="B30" s="34"/>
      <c r="C30" s="12"/>
      <c r="D30" s="12"/>
      <c r="E30" s="12"/>
      <c r="F30" s="12"/>
      <c r="G30" s="12"/>
      <c r="H30" s="12"/>
      <c r="I30" s="35"/>
    </row>
    <row r="31" spans="2:25" x14ac:dyDescent="0.3">
      <c r="B31" s="34"/>
      <c r="C31" s="12"/>
      <c r="D31" s="12"/>
      <c r="E31" s="12"/>
      <c r="F31" s="12"/>
      <c r="G31" s="12"/>
      <c r="H31" s="12"/>
      <c r="I31" s="35"/>
    </row>
    <row r="32" spans="2:25" x14ac:dyDescent="0.3">
      <c r="B32" s="34"/>
      <c r="C32" s="12"/>
      <c r="D32" s="12"/>
      <c r="E32" s="12"/>
      <c r="F32" s="12"/>
      <c r="G32" s="12"/>
      <c r="H32" s="12"/>
      <c r="I32" s="35"/>
    </row>
    <row r="33" spans="2:9" x14ac:dyDescent="0.3">
      <c r="B33" s="34"/>
      <c r="C33" s="12"/>
      <c r="D33" s="12"/>
      <c r="E33" s="12"/>
      <c r="F33" s="12"/>
      <c r="G33" s="12"/>
      <c r="H33" s="12"/>
      <c r="I33" s="35"/>
    </row>
    <row r="34" spans="2:9" x14ac:dyDescent="0.3">
      <c r="B34" s="34"/>
      <c r="C34" s="12"/>
      <c r="D34" s="12"/>
      <c r="E34" s="12"/>
      <c r="F34" s="12"/>
      <c r="G34" s="12"/>
      <c r="H34" s="12"/>
      <c r="I34" s="35"/>
    </row>
    <row r="35" spans="2:9" x14ac:dyDescent="0.3">
      <c r="B35" s="34"/>
      <c r="C35" s="12"/>
      <c r="D35" s="12"/>
      <c r="E35" s="12"/>
      <c r="F35" s="12"/>
      <c r="G35" s="12"/>
      <c r="H35" s="12"/>
      <c r="I35" s="35"/>
    </row>
    <row r="36" spans="2:9" x14ac:dyDescent="0.3">
      <c r="B36" s="34"/>
      <c r="C36" s="12"/>
      <c r="D36" s="12"/>
      <c r="E36" s="12"/>
      <c r="F36" s="12"/>
      <c r="G36" s="12"/>
      <c r="H36" s="12"/>
      <c r="I36" s="35"/>
    </row>
    <row r="37" spans="2:9" x14ac:dyDescent="0.3">
      <c r="B37" s="34"/>
      <c r="C37" s="12"/>
      <c r="D37" s="12"/>
      <c r="E37" s="12"/>
      <c r="F37" s="12"/>
      <c r="G37" s="12"/>
      <c r="H37" s="12"/>
      <c r="I37" s="35"/>
    </row>
    <row r="38" spans="2:9" x14ac:dyDescent="0.3">
      <c r="B38" s="34"/>
      <c r="C38" s="12"/>
      <c r="D38" s="12"/>
      <c r="E38" s="12"/>
      <c r="F38" s="12"/>
      <c r="G38" s="12"/>
      <c r="H38" s="12"/>
      <c r="I38" s="35"/>
    </row>
    <row r="39" spans="2:9" x14ac:dyDescent="0.3">
      <c r="B39" s="34"/>
      <c r="C39" s="12"/>
      <c r="D39" s="12"/>
      <c r="E39" s="12"/>
      <c r="F39" s="12"/>
      <c r="G39" s="12"/>
      <c r="H39" s="12"/>
      <c r="I39" s="35"/>
    </row>
    <row r="40" spans="2:9" x14ac:dyDescent="0.3">
      <c r="B40" s="34"/>
      <c r="C40" s="12"/>
      <c r="D40" s="12"/>
      <c r="E40" s="12"/>
      <c r="F40" s="12"/>
      <c r="G40" s="12"/>
      <c r="H40" s="12"/>
      <c r="I40" s="35"/>
    </row>
    <row r="41" spans="2:9" x14ac:dyDescent="0.3">
      <c r="B41" s="34"/>
      <c r="C41" s="12"/>
      <c r="D41" s="12"/>
      <c r="E41" s="12"/>
      <c r="F41" s="12"/>
      <c r="G41" s="12"/>
      <c r="H41" s="12"/>
      <c r="I41" s="35"/>
    </row>
    <row r="42" spans="2:9" x14ac:dyDescent="0.3">
      <c r="B42" s="34"/>
      <c r="C42" s="12"/>
      <c r="D42" s="12"/>
      <c r="E42" s="12"/>
      <c r="F42" s="12"/>
      <c r="G42" s="12"/>
      <c r="H42" s="12"/>
      <c r="I42" s="35"/>
    </row>
    <row r="43" spans="2:9" ht="15" thickBot="1" x14ac:dyDescent="0.35">
      <c r="B43" s="36"/>
      <c r="C43" s="37"/>
      <c r="D43" s="37"/>
      <c r="E43" s="37"/>
      <c r="F43" s="37"/>
      <c r="G43" s="37"/>
      <c r="H43" s="37"/>
      <c r="I43" s="38"/>
    </row>
  </sheetData>
  <mergeCells count="4">
    <mergeCell ref="B3:I5"/>
    <mergeCell ref="J3:Q5"/>
    <mergeCell ref="R3:Y5"/>
    <mergeCell ref="B24:I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9"/>
  <sheetViews>
    <sheetView tabSelected="1" topLeftCell="A37" workbookViewId="0">
      <selection activeCell="I56" sqref="I56"/>
    </sheetView>
  </sheetViews>
  <sheetFormatPr defaultRowHeight="14.4" x14ac:dyDescent="0.3"/>
  <cols>
    <col min="2" max="3" width="9.77734375" style="1" customWidth="1"/>
    <col min="4" max="4" width="13.77734375" style="11" customWidth="1"/>
    <col min="5" max="5" width="11.6640625" customWidth="1"/>
    <col min="6" max="6" width="16.6640625" bestFit="1" customWidth="1"/>
    <col min="7" max="7" width="12.33203125" bestFit="1" customWidth="1"/>
    <col min="8" max="8" width="21.77734375" customWidth="1"/>
    <col min="9" max="9" width="12.44140625" customWidth="1"/>
    <col min="10" max="10" width="9.88671875" customWidth="1"/>
  </cols>
  <sheetData>
    <row r="1" spans="1:39" ht="15" thickBot="1" x14ac:dyDescent="0.35">
      <c r="A1" s="2"/>
      <c r="B1" s="29"/>
      <c r="C1" s="29"/>
      <c r="D1" s="30"/>
      <c r="E1" s="2"/>
      <c r="F1" s="2"/>
      <c r="G1" s="2"/>
      <c r="H1" s="2"/>
      <c r="I1" s="2"/>
      <c r="J1" s="2"/>
      <c r="K1" s="65" t="s">
        <v>11</v>
      </c>
      <c r="L1" s="66"/>
      <c r="M1" s="66"/>
      <c r="N1" s="66"/>
      <c r="O1" s="66"/>
      <c r="P1" s="66"/>
      <c r="Q1" s="66"/>
      <c r="R1" s="66"/>
      <c r="S1" s="67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s="12" customFormat="1" ht="25.8" customHeight="1" thickBot="1" x14ac:dyDescent="0.35">
      <c r="A2" s="80" t="s">
        <v>15</v>
      </c>
      <c r="B2" s="92" t="s">
        <v>0</v>
      </c>
      <c r="C2" s="93"/>
      <c r="D2" s="93"/>
      <c r="E2" s="93"/>
      <c r="F2" s="93"/>
      <c r="G2" s="93"/>
      <c r="H2" s="94"/>
      <c r="I2" s="31"/>
      <c r="J2" s="31"/>
      <c r="K2" s="68"/>
      <c r="L2" s="69"/>
      <c r="M2" s="69"/>
      <c r="N2" s="69"/>
      <c r="O2" s="69"/>
      <c r="P2" s="69"/>
      <c r="Q2" s="69"/>
      <c r="R2" s="69"/>
      <c r="S2" s="70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</row>
    <row r="3" spans="1:39" s="6" customFormat="1" ht="31.2" customHeight="1" x14ac:dyDescent="0.3">
      <c r="A3" s="81"/>
      <c r="B3" s="13" t="s">
        <v>8</v>
      </c>
      <c r="C3" s="24" t="s">
        <v>10</v>
      </c>
      <c r="D3" s="7" t="s">
        <v>7</v>
      </c>
      <c r="E3" s="7" t="s">
        <v>6</v>
      </c>
      <c r="F3" s="7" t="s">
        <v>9</v>
      </c>
      <c r="G3" s="7" t="s">
        <v>5</v>
      </c>
      <c r="H3" s="14" t="s">
        <v>4</v>
      </c>
      <c r="I3" s="32"/>
      <c r="J3" s="32"/>
      <c r="K3" s="71" t="s">
        <v>43</v>
      </c>
      <c r="L3" s="72"/>
      <c r="M3" s="72"/>
      <c r="N3" s="72"/>
      <c r="O3" s="72"/>
      <c r="P3" s="72"/>
      <c r="Q3" s="72"/>
      <c r="R3" s="72"/>
      <c r="S3" s="73"/>
      <c r="T3" s="31"/>
      <c r="U3" s="31"/>
      <c r="V3" s="31"/>
      <c r="W3" s="31"/>
      <c r="X3" s="31"/>
      <c r="Y3" s="31"/>
      <c r="Z3" s="31"/>
      <c r="AA3" s="31"/>
      <c r="AB3" s="31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ht="15" customHeight="1" x14ac:dyDescent="0.3">
      <c r="A4" s="81"/>
      <c r="B4" s="15">
        <v>0</v>
      </c>
      <c r="C4" s="25"/>
      <c r="D4" s="9"/>
      <c r="E4" s="3">
        <v>10415.6</v>
      </c>
      <c r="F4" s="3">
        <v>8.8000000000000007</v>
      </c>
      <c r="G4" s="3">
        <v>3.4</v>
      </c>
      <c r="H4" s="23">
        <f>F4-G4</f>
        <v>5.4</v>
      </c>
      <c r="I4" s="33" t="s">
        <v>3</v>
      </c>
      <c r="J4" s="33"/>
      <c r="K4" s="74"/>
      <c r="L4" s="75"/>
      <c r="M4" s="75"/>
      <c r="N4" s="75"/>
      <c r="O4" s="75"/>
      <c r="P4" s="75"/>
      <c r="Q4" s="75"/>
      <c r="R4" s="75"/>
      <c r="S4" s="76"/>
      <c r="T4" s="31"/>
      <c r="U4" s="31"/>
      <c r="V4" s="31"/>
      <c r="W4" s="31"/>
      <c r="X4" s="31"/>
      <c r="Y4" s="31"/>
      <c r="Z4" s="31"/>
      <c r="AA4" s="31"/>
      <c r="AB4" s="31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14.4" customHeight="1" x14ac:dyDescent="0.3">
      <c r="A5" s="81"/>
      <c r="B5" s="15">
        <v>1</v>
      </c>
      <c r="C5" s="25">
        <v>33181</v>
      </c>
      <c r="D5" s="9">
        <v>9428</v>
      </c>
      <c r="E5" s="4">
        <v>10487</v>
      </c>
      <c r="F5" s="4">
        <v>7</v>
      </c>
      <c r="G5" s="4">
        <v>1</v>
      </c>
      <c r="H5" s="16">
        <f t="shared" ref="H5:H7" si="0">F5-G5</f>
        <v>6</v>
      </c>
      <c r="I5" s="2"/>
      <c r="J5" s="2"/>
      <c r="K5" s="74"/>
      <c r="L5" s="75"/>
      <c r="M5" s="75"/>
      <c r="N5" s="75"/>
      <c r="O5" s="75"/>
      <c r="P5" s="75"/>
      <c r="Q5" s="75"/>
      <c r="R5" s="75"/>
      <c r="S5" s="76"/>
      <c r="T5" s="31"/>
      <c r="U5" s="31"/>
      <c r="V5" s="31"/>
      <c r="W5" s="31"/>
      <c r="X5" s="31"/>
      <c r="Y5" s="31"/>
      <c r="Z5" s="31"/>
      <c r="AA5" s="31"/>
      <c r="AB5" s="31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4.4" customHeight="1" x14ac:dyDescent="0.3">
      <c r="A6" s="81"/>
      <c r="B6" s="15">
        <v>2</v>
      </c>
      <c r="C6" s="25">
        <v>32215</v>
      </c>
      <c r="D6" s="9">
        <v>9301</v>
      </c>
      <c r="E6" s="4">
        <v>10426</v>
      </c>
      <c r="F6" s="4">
        <v>11</v>
      </c>
      <c r="G6" s="4">
        <v>2</v>
      </c>
      <c r="H6" s="16">
        <f t="shared" si="0"/>
        <v>9</v>
      </c>
      <c r="I6" s="2"/>
      <c r="J6" s="2"/>
      <c r="K6" s="74"/>
      <c r="L6" s="75"/>
      <c r="M6" s="75"/>
      <c r="N6" s="75"/>
      <c r="O6" s="75"/>
      <c r="P6" s="75"/>
      <c r="Q6" s="75"/>
      <c r="R6" s="75"/>
      <c r="S6" s="76"/>
      <c r="T6" s="31"/>
      <c r="U6" s="31"/>
      <c r="V6" s="31"/>
      <c r="W6" s="31"/>
      <c r="X6" s="31"/>
      <c r="Y6" s="31"/>
      <c r="Z6" s="31"/>
      <c r="AA6" s="31"/>
      <c r="AB6" s="31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5" customHeight="1" thickBot="1" x14ac:dyDescent="0.35">
      <c r="A7" s="81"/>
      <c r="B7" s="17">
        <v>3</v>
      </c>
      <c r="C7" s="26">
        <v>32966</v>
      </c>
      <c r="D7" s="18">
        <v>9305</v>
      </c>
      <c r="E7" s="19">
        <v>10402</v>
      </c>
      <c r="F7" s="19">
        <v>5</v>
      </c>
      <c r="G7" s="19">
        <v>1</v>
      </c>
      <c r="H7" s="20">
        <f t="shared" si="0"/>
        <v>4</v>
      </c>
      <c r="I7" s="2"/>
      <c r="J7" s="2"/>
      <c r="K7" s="74"/>
      <c r="L7" s="75"/>
      <c r="M7" s="75"/>
      <c r="N7" s="75"/>
      <c r="O7" s="75"/>
      <c r="P7" s="75"/>
      <c r="Q7" s="75"/>
      <c r="R7" s="75"/>
      <c r="S7" s="76"/>
      <c r="T7" s="31"/>
      <c r="U7" s="31"/>
      <c r="V7" s="31"/>
      <c r="W7" s="31"/>
      <c r="X7" s="31"/>
      <c r="Y7" s="31"/>
      <c r="Z7" s="31"/>
      <c r="AA7" s="31"/>
      <c r="AB7" s="31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25.8" customHeight="1" thickBot="1" x14ac:dyDescent="0.35">
      <c r="A8" s="81"/>
      <c r="B8" s="92" t="s">
        <v>1</v>
      </c>
      <c r="C8" s="93"/>
      <c r="D8" s="93"/>
      <c r="E8" s="93"/>
      <c r="F8" s="93"/>
      <c r="G8" s="93"/>
      <c r="H8" s="94"/>
      <c r="I8" s="2"/>
      <c r="J8" s="2"/>
      <c r="K8" s="74"/>
      <c r="L8" s="75"/>
      <c r="M8" s="75"/>
      <c r="N8" s="75"/>
      <c r="O8" s="75"/>
      <c r="P8" s="75"/>
      <c r="Q8" s="75"/>
      <c r="R8" s="75"/>
      <c r="S8" s="76"/>
      <c r="T8" s="31"/>
      <c r="U8" s="31"/>
      <c r="V8" s="31"/>
      <c r="W8" s="31"/>
      <c r="X8" s="31"/>
      <c r="Y8" s="31"/>
      <c r="Z8" s="31"/>
      <c r="AA8" s="31"/>
      <c r="AB8" s="31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s="6" customFormat="1" ht="31.2" customHeight="1" x14ac:dyDescent="0.3">
      <c r="A9" s="81"/>
      <c r="B9" s="13" t="str">
        <f t="shared" ref="B9:H9" si="1">B3</f>
        <v>Treatment group</v>
      </c>
      <c r="C9" s="24" t="s">
        <v>10</v>
      </c>
      <c r="D9" s="8" t="str">
        <f>D3</f>
        <v>UserCount (Variants)</v>
      </c>
      <c r="E9" s="7" t="str">
        <f t="shared" si="1"/>
        <v>UserCount (2+ Ads)</v>
      </c>
      <c r="F9" s="7" t="str">
        <f t="shared" si="1"/>
        <v>Subscription Count</v>
      </c>
      <c r="G9" s="7" t="str">
        <f t="shared" si="1"/>
        <v>From PopUps</v>
      </c>
      <c r="H9" s="14" t="str">
        <f t="shared" si="1"/>
        <v>Net subscribers</v>
      </c>
      <c r="I9" s="32"/>
      <c r="J9" s="32"/>
      <c r="K9" s="74"/>
      <c r="L9" s="75"/>
      <c r="M9" s="75"/>
      <c r="N9" s="75"/>
      <c r="O9" s="75"/>
      <c r="P9" s="75"/>
      <c r="Q9" s="75"/>
      <c r="R9" s="75"/>
      <c r="S9" s="76"/>
      <c r="T9" s="31"/>
      <c r="U9" s="31"/>
      <c r="V9" s="31"/>
      <c r="W9" s="31"/>
      <c r="X9" s="31"/>
      <c r="Y9" s="31"/>
      <c r="Z9" s="31"/>
      <c r="AA9" s="31"/>
      <c r="AB9" s="3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</row>
    <row r="10" spans="1:39" ht="14.4" customHeight="1" x14ac:dyDescent="0.3">
      <c r="A10" s="81"/>
      <c r="B10" s="15">
        <v>0</v>
      </c>
      <c r="C10" s="25"/>
      <c r="D10" s="9"/>
      <c r="E10" s="4">
        <v>45744</v>
      </c>
      <c r="F10" s="4">
        <v>70</v>
      </c>
      <c r="G10" s="4">
        <v>25</v>
      </c>
      <c r="H10" s="16">
        <f>F10-G10</f>
        <v>45</v>
      </c>
      <c r="I10" s="2"/>
      <c r="J10" s="2"/>
      <c r="K10" s="74"/>
      <c r="L10" s="75"/>
      <c r="M10" s="75"/>
      <c r="N10" s="75"/>
      <c r="O10" s="75"/>
      <c r="P10" s="75"/>
      <c r="Q10" s="75"/>
      <c r="R10" s="75"/>
      <c r="S10" s="76"/>
      <c r="T10" s="31"/>
      <c r="U10" s="31"/>
      <c r="V10" s="31"/>
      <c r="W10" s="31"/>
      <c r="X10" s="31"/>
      <c r="Y10" s="31"/>
      <c r="Z10" s="31"/>
      <c r="AA10" s="31"/>
      <c r="AB10" s="31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14.4" customHeight="1" x14ac:dyDescent="0.3">
      <c r="A11" s="81"/>
      <c r="B11" s="15">
        <v>1</v>
      </c>
      <c r="C11" s="25">
        <v>182029</v>
      </c>
      <c r="D11" s="9">
        <v>41000</v>
      </c>
      <c r="E11" s="4">
        <v>45696</v>
      </c>
      <c r="F11" s="4">
        <v>63</v>
      </c>
      <c r="G11" s="4">
        <v>21</v>
      </c>
      <c r="H11" s="16">
        <f t="shared" ref="H11:H13" si="2">F11-G11</f>
        <v>42</v>
      </c>
      <c r="I11" s="2"/>
      <c r="J11" s="2"/>
      <c r="K11" s="74"/>
      <c r="L11" s="75"/>
      <c r="M11" s="75"/>
      <c r="N11" s="75"/>
      <c r="O11" s="75"/>
      <c r="P11" s="75"/>
      <c r="Q11" s="75"/>
      <c r="R11" s="75"/>
      <c r="S11" s="76"/>
      <c r="T11" s="31"/>
      <c r="U11" s="31"/>
      <c r="V11" s="31"/>
      <c r="W11" s="31"/>
      <c r="X11" s="31"/>
      <c r="Y11" s="31"/>
      <c r="Z11" s="31"/>
      <c r="AA11" s="31"/>
      <c r="AB11" s="31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5" customHeight="1" x14ac:dyDescent="0.3">
      <c r="A12" s="81"/>
      <c r="B12" s="15">
        <v>2</v>
      </c>
      <c r="C12" s="25">
        <v>181916</v>
      </c>
      <c r="D12" s="9">
        <v>40929</v>
      </c>
      <c r="E12" s="4">
        <v>45603</v>
      </c>
      <c r="F12" s="4">
        <v>68</v>
      </c>
      <c r="G12" s="4">
        <v>17</v>
      </c>
      <c r="H12" s="16">
        <f t="shared" si="2"/>
        <v>51</v>
      </c>
      <c r="I12" s="2"/>
      <c r="J12" s="2"/>
      <c r="K12" s="74"/>
      <c r="L12" s="75"/>
      <c r="M12" s="75"/>
      <c r="N12" s="75"/>
      <c r="O12" s="75"/>
      <c r="P12" s="75"/>
      <c r="Q12" s="75"/>
      <c r="R12" s="75"/>
      <c r="S12" s="76"/>
      <c r="T12" s="31"/>
      <c r="U12" s="31"/>
      <c r="V12" s="31"/>
      <c r="W12" s="31"/>
      <c r="X12" s="31"/>
      <c r="Y12" s="31"/>
      <c r="Z12" s="31"/>
      <c r="AA12" s="31"/>
      <c r="AB12" s="31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5" thickBot="1" x14ac:dyDescent="0.35">
      <c r="A13" s="81"/>
      <c r="B13" s="17">
        <v>3</v>
      </c>
      <c r="C13" s="26">
        <v>182273</v>
      </c>
      <c r="D13" s="18">
        <v>41251</v>
      </c>
      <c r="E13" s="19">
        <v>46075</v>
      </c>
      <c r="F13" s="19">
        <v>70</v>
      </c>
      <c r="G13" s="19">
        <v>29</v>
      </c>
      <c r="H13" s="20">
        <f t="shared" si="2"/>
        <v>41</v>
      </c>
      <c r="I13" s="2"/>
      <c r="J13" s="2"/>
      <c r="K13" s="74"/>
      <c r="L13" s="75"/>
      <c r="M13" s="75"/>
      <c r="N13" s="75"/>
      <c r="O13" s="75"/>
      <c r="P13" s="75"/>
      <c r="Q13" s="75"/>
      <c r="R13" s="75"/>
      <c r="S13" s="76"/>
      <c r="T13" s="31"/>
      <c r="U13" s="31"/>
      <c r="V13" s="31"/>
      <c r="W13" s="31"/>
      <c r="X13" s="31"/>
      <c r="Y13" s="31"/>
      <c r="Z13" s="31"/>
      <c r="AA13" s="31"/>
      <c r="AB13" s="31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45.6" customHeight="1" thickBot="1" x14ac:dyDescent="0.35">
      <c r="A14" s="81"/>
      <c r="B14" s="95" t="s">
        <v>2</v>
      </c>
      <c r="C14" s="96"/>
      <c r="D14" s="96"/>
      <c r="E14" s="96"/>
      <c r="F14" s="96"/>
      <c r="G14" s="96"/>
      <c r="H14" s="97"/>
      <c r="I14" s="2"/>
      <c r="J14" s="2"/>
      <c r="K14" s="74"/>
      <c r="L14" s="75"/>
      <c r="M14" s="75"/>
      <c r="N14" s="75"/>
      <c r="O14" s="75"/>
      <c r="P14" s="75"/>
      <c r="Q14" s="75"/>
      <c r="R14" s="75"/>
      <c r="S14" s="76"/>
      <c r="T14" s="31"/>
      <c r="U14" s="31"/>
      <c r="V14" s="31"/>
      <c r="W14" s="31"/>
      <c r="X14" s="31"/>
      <c r="Y14" s="31"/>
      <c r="Z14" s="31"/>
      <c r="AA14" s="31"/>
      <c r="AB14" s="31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s="6" customFormat="1" ht="31.2" customHeight="1" x14ac:dyDescent="0.3">
      <c r="A15" s="81"/>
      <c r="B15" s="13" t="str">
        <f t="shared" ref="B15:H15" si="3">B9</f>
        <v>Treatment group</v>
      </c>
      <c r="C15" s="24" t="s">
        <v>10</v>
      </c>
      <c r="D15" s="8" t="str">
        <f>D9</f>
        <v>UserCount (Variants)</v>
      </c>
      <c r="E15" s="7" t="str">
        <f t="shared" si="3"/>
        <v>UserCount (2+ Ads)</v>
      </c>
      <c r="F15" s="7" t="str">
        <f t="shared" si="3"/>
        <v>Subscription Count</v>
      </c>
      <c r="G15" s="7" t="str">
        <f t="shared" si="3"/>
        <v>From PopUps</v>
      </c>
      <c r="H15" s="14" t="str">
        <f t="shared" si="3"/>
        <v>Net subscribers</v>
      </c>
      <c r="I15" s="32"/>
      <c r="J15" s="32"/>
      <c r="K15" s="74"/>
      <c r="L15" s="75"/>
      <c r="M15" s="75"/>
      <c r="N15" s="75"/>
      <c r="O15" s="75"/>
      <c r="P15" s="75"/>
      <c r="Q15" s="75"/>
      <c r="R15" s="75"/>
      <c r="S15" s="76"/>
      <c r="T15" s="31"/>
      <c r="U15" s="31"/>
      <c r="V15" s="31"/>
      <c r="W15" s="31"/>
      <c r="X15" s="31"/>
      <c r="Y15" s="31"/>
      <c r="Z15" s="31"/>
      <c r="AA15" s="31"/>
      <c r="AB15" s="31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pans="1:39" x14ac:dyDescent="0.3">
      <c r="A16" s="81"/>
      <c r="B16" s="15">
        <v>0</v>
      </c>
      <c r="C16" s="25"/>
      <c r="D16" s="10"/>
      <c r="E16" s="5">
        <f t="shared" ref="E16:G19" si="4">E4+E10</f>
        <v>56159.6</v>
      </c>
      <c r="F16" s="5">
        <f t="shared" si="4"/>
        <v>78.8</v>
      </c>
      <c r="G16" s="5">
        <f t="shared" si="4"/>
        <v>28.4</v>
      </c>
      <c r="H16" s="21">
        <f>F16-G16</f>
        <v>50.4</v>
      </c>
      <c r="I16" s="2"/>
      <c r="J16" s="2"/>
      <c r="K16" s="74"/>
      <c r="L16" s="75"/>
      <c r="M16" s="75"/>
      <c r="N16" s="75"/>
      <c r="O16" s="75"/>
      <c r="P16" s="75"/>
      <c r="Q16" s="75"/>
      <c r="R16" s="75"/>
      <c r="S16" s="76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3">
      <c r="A17" s="81"/>
      <c r="B17" s="15">
        <v>1</v>
      </c>
      <c r="C17" s="25">
        <f t="shared" ref="C17:D19" si="5">C5+C11</f>
        <v>215210</v>
      </c>
      <c r="D17" s="10">
        <f t="shared" si="5"/>
        <v>50428</v>
      </c>
      <c r="E17" s="4">
        <f t="shared" si="4"/>
        <v>56183</v>
      </c>
      <c r="F17" s="4">
        <f t="shared" si="4"/>
        <v>70</v>
      </c>
      <c r="G17" s="4">
        <f t="shared" si="4"/>
        <v>22</v>
      </c>
      <c r="H17" s="22">
        <f t="shared" ref="H17:H19" si="6">F17-G17</f>
        <v>48</v>
      </c>
      <c r="I17" s="2"/>
      <c r="J17" s="2"/>
      <c r="K17" s="74"/>
      <c r="L17" s="75"/>
      <c r="M17" s="75"/>
      <c r="N17" s="75"/>
      <c r="O17" s="75"/>
      <c r="P17" s="75"/>
      <c r="Q17" s="75"/>
      <c r="R17" s="75"/>
      <c r="S17" s="76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3">
      <c r="A18" s="81"/>
      <c r="B18" s="15">
        <v>2</v>
      </c>
      <c r="C18" s="25">
        <f t="shared" si="5"/>
        <v>214131</v>
      </c>
      <c r="D18" s="10">
        <f t="shared" si="5"/>
        <v>50230</v>
      </c>
      <c r="E18" s="4">
        <f t="shared" si="4"/>
        <v>56029</v>
      </c>
      <c r="F18" s="4">
        <f t="shared" si="4"/>
        <v>79</v>
      </c>
      <c r="G18" s="4">
        <f t="shared" si="4"/>
        <v>19</v>
      </c>
      <c r="H18" s="22">
        <f t="shared" si="6"/>
        <v>60</v>
      </c>
      <c r="I18" s="2"/>
      <c r="J18" s="2"/>
      <c r="K18" s="74"/>
      <c r="L18" s="75"/>
      <c r="M18" s="75"/>
      <c r="N18" s="75"/>
      <c r="O18" s="75"/>
      <c r="P18" s="75"/>
      <c r="Q18" s="75"/>
      <c r="R18" s="75"/>
      <c r="S18" s="76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thickBot="1" x14ac:dyDescent="0.35">
      <c r="A19" s="82"/>
      <c r="B19" s="39">
        <v>3</v>
      </c>
      <c r="C19" s="40">
        <f t="shared" si="5"/>
        <v>215239</v>
      </c>
      <c r="D19" s="41">
        <f t="shared" si="5"/>
        <v>50556</v>
      </c>
      <c r="E19" s="42">
        <f t="shared" si="4"/>
        <v>56477</v>
      </c>
      <c r="F19" s="42">
        <f t="shared" si="4"/>
        <v>75</v>
      </c>
      <c r="G19" s="42">
        <f t="shared" si="4"/>
        <v>30</v>
      </c>
      <c r="H19" s="43">
        <f t="shared" si="6"/>
        <v>45</v>
      </c>
      <c r="I19" s="2"/>
      <c r="J19" s="2"/>
      <c r="K19" s="77"/>
      <c r="L19" s="78"/>
      <c r="M19" s="78"/>
      <c r="N19" s="78"/>
      <c r="O19" s="78"/>
      <c r="P19" s="78"/>
      <c r="Q19" s="78"/>
      <c r="R19" s="78"/>
      <c r="S19" s="79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s="47" customFormat="1" x14ac:dyDescent="0.3">
      <c r="A20" s="44"/>
      <c r="B20" s="45"/>
      <c r="C20" s="45"/>
      <c r="D20" s="46"/>
    </row>
    <row r="21" spans="1:39" s="51" customFormat="1" ht="15" thickBot="1" x14ac:dyDescent="0.35">
      <c r="A21" s="48"/>
      <c r="B21" s="49"/>
      <c r="C21" s="49"/>
      <c r="D21" s="50"/>
    </row>
    <row r="22" spans="1:39" s="12" customFormat="1" ht="14.4" customHeight="1" x14ac:dyDescent="0.3">
      <c r="A22" s="80" t="s">
        <v>16</v>
      </c>
      <c r="B22" s="98" t="s">
        <v>35</v>
      </c>
      <c r="C22" s="99"/>
      <c r="D22" s="99"/>
      <c r="E22" s="99"/>
      <c r="F22" s="99"/>
      <c r="G22" s="99"/>
      <c r="H22" s="100"/>
      <c r="I22" s="2"/>
      <c r="J22" s="2"/>
      <c r="K22" s="65" t="s">
        <v>11</v>
      </c>
      <c r="L22" s="66"/>
      <c r="M22" s="66"/>
      <c r="N22" s="66"/>
      <c r="O22" s="66"/>
      <c r="P22" s="66"/>
      <c r="Q22" s="66"/>
      <c r="R22" s="66"/>
      <c r="S22" s="67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</row>
    <row r="23" spans="1:39" s="6" customFormat="1" ht="15" thickBot="1" x14ac:dyDescent="0.35">
      <c r="A23" s="81"/>
      <c r="B23" s="101"/>
      <c r="C23" s="102"/>
      <c r="D23" s="102"/>
      <c r="E23" s="102"/>
      <c r="F23" s="102"/>
      <c r="G23" s="102"/>
      <c r="H23" s="103"/>
      <c r="I23" s="2"/>
      <c r="K23" s="68"/>
      <c r="L23" s="69"/>
      <c r="M23" s="69"/>
      <c r="N23" s="69"/>
      <c r="O23" s="69"/>
      <c r="P23" s="69"/>
      <c r="Q23" s="69"/>
      <c r="R23" s="69"/>
      <c r="S23" s="70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pans="1:39" ht="14.4" customHeight="1" x14ac:dyDescent="0.3">
      <c r="A24" s="81"/>
      <c r="B24" s="29"/>
      <c r="C24" s="29"/>
      <c r="D24" s="30"/>
      <c r="E24" s="2"/>
      <c r="F24" s="2"/>
      <c r="G24" s="2"/>
      <c r="H24" s="2"/>
      <c r="I24" s="2"/>
      <c r="J24" s="2"/>
      <c r="K24" s="83" t="s">
        <v>44</v>
      </c>
      <c r="L24" s="84"/>
      <c r="M24" s="84"/>
      <c r="N24" s="84"/>
      <c r="O24" s="84"/>
      <c r="P24" s="84"/>
      <c r="Q24" s="84"/>
      <c r="R24" s="84"/>
      <c r="S24" s="8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customHeight="1" x14ac:dyDescent="0.3">
      <c r="A25" s="81"/>
      <c r="B25" s="29"/>
      <c r="C25" s="29"/>
      <c r="D25" s="30"/>
      <c r="E25" s="2"/>
      <c r="F25" s="2"/>
      <c r="G25" s="2"/>
      <c r="H25" s="2"/>
      <c r="I25" s="2"/>
      <c r="J25" s="2"/>
      <c r="K25" s="86"/>
      <c r="L25" s="87"/>
      <c r="M25" s="87"/>
      <c r="N25" s="87"/>
      <c r="O25" s="87"/>
      <c r="P25" s="87"/>
      <c r="Q25" s="87"/>
      <c r="R25" s="87"/>
      <c r="S25" s="8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4.4" customHeight="1" x14ac:dyDescent="0.3">
      <c r="A26" s="81"/>
      <c r="B26" s="29"/>
      <c r="C26" s="29"/>
      <c r="D26" s="30"/>
      <c r="E26" s="2"/>
      <c r="F26" s="2"/>
      <c r="G26" s="2"/>
      <c r="H26" s="2"/>
      <c r="I26" s="2"/>
      <c r="J26" s="2"/>
      <c r="K26" s="86"/>
      <c r="L26" s="87"/>
      <c r="M26" s="87"/>
      <c r="N26" s="87"/>
      <c r="O26" s="87"/>
      <c r="P26" s="87"/>
      <c r="Q26" s="87"/>
      <c r="R26" s="87"/>
      <c r="S26" s="8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4.4" customHeight="1" x14ac:dyDescent="0.3">
      <c r="A27" s="81"/>
      <c r="B27" s="29"/>
      <c r="C27" s="29"/>
      <c r="D27" s="30"/>
      <c r="E27" s="2"/>
      <c r="F27" s="2"/>
      <c r="G27" s="2"/>
      <c r="H27" s="2"/>
      <c r="I27" s="2"/>
      <c r="J27" s="2"/>
      <c r="K27" s="86"/>
      <c r="L27" s="87"/>
      <c r="M27" s="87"/>
      <c r="N27" s="87"/>
      <c r="O27" s="87"/>
      <c r="P27" s="87"/>
      <c r="Q27" s="87"/>
      <c r="R27" s="87"/>
      <c r="S27" s="8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4.4" customHeight="1" x14ac:dyDescent="0.3">
      <c r="A28" s="81"/>
      <c r="B28" s="2"/>
      <c r="C28" s="2"/>
      <c r="D28" s="2"/>
      <c r="E28" s="2"/>
      <c r="F28" s="2"/>
      <c r="G28" s="2"/>
      <c r="H28" s="2"/>
      <c r="I28" s="2"/>
      <c r="J28" s="2"/>
      <c r="K28" s="86"/>
      <c r="L28" s="87"/>
      <c r="M28" s="87"/>
      <c r="N28" s="87"/>
      <c r="O28" s="87"/>
      <c r="P28" s="87"/>
      <c r="Q28" s="87"/>
      <c r="R28" s="87"/>
      <c r="S28" s="8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s="6" customFormat="1" ht="28.8" x14ac:dyDescent="0.3">
      <c r="A29" s="81"/>
      <c r="B29" s="28" t="s">
        <v>8</v>
      </c>
      <c r="C29" s="8" t="s">
        <v>10</v>
      </c>
      <c r="D29" s="8" t="s">
        <v>7</v>
      </c>
      <c r="E29" s="8" t="s">
        <v>23</v>
      </c>
      <c r="F29" s="8" t="s">
        <v>17</v>
      </c>
      <c r="G29" s="2"/>
      <c r="H29" s="2"/>
      <c r="I29" s="2"/>
      <c r="J29" s="2"/>
      <c r="K29" s="86"/>
      <c r="L29" s="87"/>
      <c r="M29" s="87"/>
      <c r="N29" s="87"/>
      <c r="O29" s="87"/>
      <c r="P29" s="87"/>
      <c r="Q29" s="87"/>
      <c r="R29" s="87"/>
      <c r="S29" s="88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39" ht="14.4" customHeight="1" x14ac:dyDescent="0.3">
      <c r="A30" s="81"/>
      <c r="B30" s="25"/>
      <c r="C30" s="27"/>
      <c r="D30" s="9"/>
      <c r="E30" s="3"/>
      <c r="F30" s="3"/>
      <c r="G30" s="2"/>
      <c r="H30" s="8" t="s">
        <v>18</v>
      </c>
      <c r="I30" s="8" t="s">
        <v>22</v>
      </c>
      <c r="J30" s="2"/>
      <c r="K30" s="86"/>
      <c r="L30" s="87"/>
      <c r="M30" s="87"/>
      <c r="N30" s="87"/>
      <c r="O30" s="87"/>
      <c r="P30" s="87"/>
      <c r="Q30" s="87"/>
      <c r="R30" s="87"/>
      <c r="S30" s="88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4.4" customHeight="1" x14ac:dyDescent="0.3">
      <c r="A31" s="81"/>
      <c r="B31" s="25">
        <v>1</v>
      </c>
      <c r="C31" s="27">
        <v>46901</v>
      </c>
      <c r="D31" s="9">
        <v>11892</v>
      </c>
      <c r="E31" s="4">
        <v>399</v>
      </c>
      <c r="F31" s="52">
        <f>E31/C31</f>
        <v>8.5072812946419048E-3</v>
      </c>
      <c r="G31" s="2"/>
      <c r="H31" s="27" t="s">
        <v>20</v>
      </c>
      <c r="I31" s="53">
        <f>F32/F31</f>
        <v>1.3964529873264342</v>
      </c>
      <c r="J31" s="2"/>
      <c r="K31" s="86"/>
      <c r="L31" s="87"/>
      <c r="M31" s="87"/>
      <c r="N31" s="87"/>
      <c r="O31" s="87"/>
      <c r="P31" s="87"/>
      <c r="Q31" s="87"/>
      <c r="R31" s="87"/>
      <c r="S31" s="8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4.4" customHeight="1" x14ac:dyDescent="0.3">
      <c r="A32" s="81"/>
      <c r="B32" s="25">
        <v>2</v>
      </c>
      <c r="C32" s="27">
        <v>45707</v>
      </c>
      <c r="D32" s="9">
        <v>11817</v>
      </c>
      <c r="E32" s="4">
        <v>543</v>
      </c>
      <c r="F32" s="52">
        <f>E32/C32</f>
        <v>1.1880018377928982E-2</v>
      </c>
      <c r="G32" s="2"/>
      <c r="H32" s="27" t="s">
        <v>21</v>
      </c>
      <c r="I32" s="53">
        <f>F33/F31</f>
        <v>1.3116592555303856</v>
      </c>
      <c r="J32" s="2"/>
      <c r="K32" s="86"/>
      <c r="L32" s="87"/>
      <c r="M32" s="87"/>
      <c r="N32" s="87"/>
      <c r="O32" s="87"/>
      <c r="P32" s="87"/>
      <c r="Q32" s="87"/>
      <c r="R32" s="87"/>
      <c r="S32" s="88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4.4" customHeight="1" x14ac:dyDescent="0.3">
      <c r="A33" s="81"/>
      <c r="B33" s="25">
        <v>3</v>
      </c>
      <c r="C33" s="27">
        <v>47676</v>
      </c>
      <c r="D33" s="9">
        <v>12112</v>
      </c>
      <c r="E33" s="4">
        <v>532</v>
      </c>
      <c r="F33" s="52">
        <f>E33/C33</f>
        <v>1.1158654249517577E-2</v>
      </c>
      <c r="G33" s="2"/>
      <c r="H33" s="27" t="s">
        <v>19</v>
      </c>
      <c r="I33" s="53">
        <f>F32/F33</f>
        <v>1.064646158244628</v>
      </c>
      <c r="J33" s="2"/>
      <c r="K33" s="86"/>
      <c r="L33" s="87"/>
      <c r="M33" s="87"/>
      <c r="N33" s="87"/>
      <c r="O33" s="87"/>
      <c r="P33" s="87"/>
      <c r="Q33" s="87"/>
      <c r="R33" s="87"/>
      <c r="S33" s="88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4.4" customHeight="1" x14ac:dyDescent="0.3">
      <c r="A34" s="81"/>
      <c r="B34" s="2"/>
      <c r="C34" s="2"/>
      <c r="D34" s="2"/>
      <c r="E34" s="2"/>
      <c r="F34" s="2"/>
      <c r="G34" s="2"/>
      <c r="H34" s="2"/>
      <c r="I34" s="2"/>
      <c r="J34" s="2"/>
      <c r="K34" s="86"/>
      <c r="L34" s="87"/>
      <c r="M34" s="87"/>
      <c r="N34" s="87"/>
      <c r="O34" s="87"/>
      <c r="P34" s="87"/>
      <c r="Q34" s="87"/>
      <c r="R34" s="87"/>
      <c r="S34" s="8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s="6" customFormat="1" ht="15" customHeight="1" x14ac:dyDescent="0.3">
      <c r="A35" s="81"/>
      <c r="B35" s="2"/>
      <c r="C35" s="2"/>
      <c r="D35" s="2"/>
      <c r="E35" s="2"/>
      <c r="F35" s="2"/>
      <c r="G35" s="2"/>
      <c r="H35" s="2"/>
      <c r="I35" s="32"/>
      <c r="J35" s="32"/>
      <c r="K35" s="86"/>
      <c r="L35" s="87"/>
      <c r="M35" s="87"/>
      <c r="N35" s="87"/>
      <c r="O35" s="87"/>
      <c r="P35" s="87"/>
      <c r="Q35" s="87"/>
      <c r="R35" s="87"/>
      <c r="S35" s="88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pans="1:39" ht="14.4" customHeight="1" x14ac:dyDescent="0.3">
      <c r="A36" s="81"/>
      <c r="B36" s="2"/>
      <c r="C36" s="2"/>
      <c r="D36" s="2"/>
      <c r="E36" s="2"/>
      <c r="F36" s="2"/>
      <c r="G36" s="2"/>
      <c r="H36" s="2"/>
      <c r="I36" s="2"/>
      <c r="J36" s="2"/>
      <c r="K36" s="86"/>
      <c r="L36" s="87"/>
      <c r="M36" s="87"/>
      <c r="N36" s="87"/>
      <c r="O36" s="87"/>
      <c r="P36" s="87"/>
      <c r="Q36" s="87"/>
      <c r="R36" s="87"/>
      <c r="S36" s="88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4.4" customHeight="1" x14ac:dyDescent="0.3">
      <c r="A37" s="81"/>
      <c r="B37" s="2"/>
      <c r="C37" s="2"/>
      <c r="D37" s="2"/>
      <c r="E37" s="2"/>
      <c r="F37" s="2"/>
      <c r="G37" s="2"/>
      <c r="H37" s="2"/>
      <c r="I37" s="2"/>
      <c r="J37" s="2"/>
      <c r="K37" s="86"/>
      <c r="L37" s="87"/>
      <c r="M37" s="87"/>
      <c r="N37" s="87"/>
      <c r="O37" s="87"/>
      <c r="P37" s="87"/>
      <c r="Q37" s="87"/>
      <c r="R37" s="87"/>
      <c r="S37" s="88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4.4" customHeight="1" x14ac:dyDescent="0.3">
      <c r="A38" s="81"/>
      <c r="B38" s="2"/>
      <c r="C38" s="2"/>
      <c r="D38" s="2"/>
      <c r="E38" s="2"/>
      <c r="F38" s="2"/>
      <c r="G38" s="2"/>
      <c r="H38" s="2"/>
      <c r="I38" s="2"/>
      <c r="J38" s="2"/>
      <c r="K38" s="86"/>
      <c r="L38" s="87"/>
      <c r="M38" s="87"/>
      <c r="N38" s="87"/>
      <c r="O38" s="87"/>
      <c r="P38" s="87"/>
      <c r="Q38" s="87"/>
      <c r="R38" s="87"/>
      <c r="S38" s="88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4.4" customHeight="1" x14ac:dyDescent="0.3">
      <c r="A39" s="81"/>
      <c r="B39" s="2"/>
      <c r="C39" s="2"/>
      <c r="D39" s="2"/>
      <c r="E39" s="2"/>
      <c r="F39" s="2"/>
      <c r="G39" s="2"/>
      <c r="H39" s="2"/>
      <c r="I39" s="2"/>
      <c r="J39" s="2"/>
      <c r="K39" s="86"/>
      <c r="L39" s="87"/>
      <c r="M39" s="87"/>
      <c r="N39" s="87"/>
      <c r="O39" s="87"/>
      <c r="P39" s="87"/>
      <c r="Q39" s="87"/>
      <c r="R39" s="87"/>
      <c r="S39" s="88"/>
      <c r="T39" s="2"/>
      <c r="U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4.4" customHeight="1" x14ac:dyDescent="0.3">
      <c r="A40" s="81"/>
      <c r="B40" s="2"/>
      <c r="C40" s="2"/>
      <c r="D40" s="2"/>
      <c r="E40" s="2"/>
      <c r="F40" s="2"/>
      <c r="G40" s="2"/>
      <c r="H40" s="2"/>
      <c r="I40" s="2"/>
      <c r="J40" s="2"/>
      <c r="K40" s="86"/>
      <c r="L40" s="87"/>
      <c r="M40" s="87"/>
      <c r="N40" s="87"/>
      <c r="O40" s="87"/>
      <c r="P40" s="87"/>
      <c r="Q40" s="87"/>
      <c r="R40" s="87"/>
      <c r="S40" s="88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4.4" customHeight="1" x14ac:dyDescent="0.3">
      <c r="A41" s="81"/>
      <c r="B41" s="2"/>
      <c r="C41" s="2"/>
      <c r="D41" s="2"/>
      <c r="E41" s="2"/>
      <c r="F41" s="2"/>
      <c r="G41" s="2"/>
      <c r="H41" s="2"/>
      <c r="I41" s="2"/>
      <c r="J41" s="2"/>
      <c r="K41" s="86"/>
      <c r="L41" s="87"/>
      <c r="M41" s="87"/>
      <c r="N41" s="87"/>
      <c r="O41" s="87"/>
      <c r="P41" s="87"/>
      <c r="Q41" s="87"/>
      <c r="R41" s="87"/>
      <c r="S41" s="88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4.4" customHeight="1" x14ac:dyDescent="0.3">
      <c r="A42" s="81"/>
      <c r="B42" s="29"/>
      <c r="C42" s="29"/>
      <c r="D42" s="30"/>
      <c r="E42" s="2"/>
      <c r="F42" s="2"/>
      <c r="G42" s="2"/>
      <c r="H42" s="2"/>
      <c r="I42" s="2"/>
      <c r="J42" s="2"/>
      <c r="K42" s="86"/>
      <c r="L42" s="87"/>
      <c r="M42" s="87"/>
      <c r="N42" s="87"/>
      <c r="O42" s="87"/>
      <c r="P42" s="87"/>
      <c r="Q42" s="87"/>
      <c r="R42" s="87"/>
      <c r="S42" s="88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27" customHeight="1" thickBot="1" x14ac:dyDescent="0.35">
      <c r="A43" s="82"/>
      <c r="B43" s="29"/>
      <c r="C43" s="29"/>
      <c r="D43" s="30"/>
      <c r="E43" s="2"/>
      <c r="F43" s="2"/>
      <c r="G43" s="2"/>
      <c r="H43" s="2"/>
      <c r="I43" s="2"/>
      <c r="J43" s="2"/>
      <c r="K43" s="89"/>
      <c r="L43" s="90"/>
      <c r="M43" s="90"/>
      <c r="N43" s="90"/>
      <c r="O43" s="90"/>
      <c r="P43" s="90"/>
      <c r="Q43" s="90"/>
      <c r="R43" s="90"/>
      <c r="S43" s="9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s="47" customFormat="1" x14ac:dyDescent="0.3">
      <c r="A44" s="44"/>
      <c r="B44" s="45"/>
      <c r="C44" s="45"/>
      <c r="D44" s="46"/>
    </row>
    <row r="45" spans="1:39" s="51" customFormat="1" ht="15" thickBot="1" x14ac:dyDescent="0.35">
      <c r="A45" s="48"/>
      <c r="B45" s="49"/>
      <c r="C45" s="49"/>
      <c r="D45" s="50"/>
    </row>
    <row r="46" spans="1:39" s="12" customFormat="1" ht="14.4" customHeight="1" x14ac:dyDescent="0.3">
      <c r="A46" s="80" t="s">
        <v>16</v>
      </c>
      <c r="B46" s="98" t="s">
        <v>46</v>
      </c>
      <c r="C46" s="99"/>
      <c r="D46" s="99"/>
      <c r="E46" s="99"/>
      <c r="F46" s="99"/>
      <c r="G46" s="99"/>
      <c r="H46" s="100"/>
      <c r="I46" s="2"/>
      <c r="J46" s="2"/>
      <c r="K46" s="65" t="s">
        <v>11</v>
      </c>
      <c r="L46" s="66"/>
      <c r="M46" s="66"/>
      <c r="N46" s="66"/>
      <c r="O46" s="66"/>
      <c r="P46" s="66"/>
      <c r="Q46" s="66"/>
      <c r="R46" s="66"/>
      <c r="S46" s="67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</row>
    <row r="47" spans="1:39" s="6" customFormat="1" ht="15" thickBot="1" x14ac:dyDescent="0.35">
      <c r="A47" s="81"/>
      <c r="B47" s="101"/>
      <c r="C47" s="102"/>
      <c r="D47" s="102"/>
      <c r="E47" s="102"/>
      <c r="F47" s="102"/>
      <c r="G47" s="102"/>
      <c r="H47" s="103"/>
      <c r="I47" s="2"/>
      <c r="K47" s="68"/>
      <c r="L47" s="69"/>
      <c r="M47" s="69"/>
      <c r="N47" s="69"/>
      <c r="O47" s="69"/>
      <c r="P47" s="69"/>
      <c r="Q47" s="69"/>
      <c r="R47" s="69"/>
      <c r="S47" s="70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</row>
    <row r="48" spans="1:39" ht="14.4" customHeight="1" x14ac:dyDescent="0.3">
      <c r="A48" s="81"/>
      <c r="B48" s="29"/>
      <c r="C48" s="29"/>
      <c r="D48" s="30"/>
      <c r="E48" s="2"/>
      <c r="F48" s="2"/>
      <c r="G48" s="2"/>
      <c r="H48" s="2"/>
      <c r="I48" s="2"/>
      <c r="J48" s="2"/>
      <c r="K48" s="83" t="s">
        <v>44</v>
      </c>
      <c r="L48" s="84"/>
      <c r="M48" s="84"/>
      <c r="N48" s="84"/>
      <c r="O48" s="84"/>
      <c r="P48" s="84"/>
      <c r="Q48" s="84"/>
      <c r="R48" s="84"/>
      <c r="S48" s="85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customHeight="1" x14ac:dyDescent="0.3">
      <c r="A49" s="81"/>
      <c r="B49" s="29"/>
      <c r="C49" s="29"/>
      <c r="D49" s="30"/>
      <c r="E49" s="2"/>
      <c r="F49" s="2"/>
      <c r="G49" s="2"/>
      <c r="H49" s="2"/>
      <c r="I49" s="2"/>
      <c r="J49" s="2"/>
      <c r="K49" s="86"/>
      <c r="L49" s="87"/>
      <c r="M49" s="87"/>
      <c r="N49" s="87"/>
      <c r="O49" s="87"/>
      <c r="P49" s="87"/>
      <c r="Q49" s="87"/>
      <c r="R49" s="87"/>
      <c r="S49" s="88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4.4" customHeight="1" x14ac:dyDescent="0.3">
      <c r="A50" s="81"/>
      <c r="B50" s="29"/>
      <c r="C50" s="29"/>
      <c r="D50" s="30"/>
      <c r="E50" s="2"/>
      <c r="F50" s="2"/>
      <c r="G50" s="2"/>
      <c r="H50" s="2"/>
      <c r="I50" s="2"/>
      <c r="J50" s="2"/>
      <c r="K50" s="86"/>
      <c r="L50" s="87"/>
      <c r="M50" s="87"/>
      <c r="N50" s="87"/>
      <c r="O50" s="87"/>
      <c r="P50" s="87"/>
      <c r="Q50" s="87"/>
      <c r="R50" s="87"/>
      <c r="S50" s="8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4.4" customHeight="1" x14ac:dyDescent="0.3">
      <c r="A51" s="81"/>
      <c r="B51" s="29"/>
      <c r="C51" s="29"/>
      <c r="D51" s="30"/>
      <c r="E51" s="2"/>
      <c r="F51" s="2"/>
      <c r="G51" s="2"/>
      <c r="H51" s="2"/>
      <c r="I51" s="2"/>
      <c r="J51" s="2"/>
      <c r="K51" s="86"/>
      <c r="L51" s="87"/>
      <c r="M51" s="87"/>
      <c r="N51" s="87"/>
      <c r="O51" s="87"/>
      <c r="P51" s="87"/>
      <c r="Q51" s="87"/>
      <c r="R51" s="87"/>
      <c r="S51" s="88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4.4" customHeight="1" x14ac:dyDescent="0.3">
      <c r="A52" s="81"/>
      <c r="B52" s="2"/>
      <c r="C52" s="2"/>
      <c r="D52" s="2"/>
      <c r="E52" s="2"/>
      <c r="F52" s="2"/>
      <c r="G52" s="2"/>
      <c r="H52" s="2"/>
      <c r="I52" s="2"/>
      <c r="J52" s="2"/>
      <c r="K52" s="86"/>
      <c r="L52" s="87"/>
      <c r="M52" s="87"/>
      <c r="N52" s="87"/>
      <c r="O52" s="87"/>
      <c r="P52" s="87"/>
      <c r="Q52" s="87"/>
      <c r="R52" s="87"/>
      <c r="S52" s="8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s="6" customFormat="1" ht="28.8" x14ac:dyDescent="0.3">
      <c r="A53" s="81"/>
      <c r="B53" s="28" t="s">
        <v>8</v>
      </c>
      <c r="C53" s="8" t="s">
        <v>10</v>
      </c>
      <c r="D53" s="8" t="s">
        <v>7</v>
      </c>
      <c r="E53" s="8" t="s">
        <v>23</v>
      </c>
      <c r="F53" s="8" t="s">
        <v>17</v>
      </c>
      <c r="G53" s="2"/>
      <c r="H53" s="2"/>
      <c r="I53" s="2"/>
      <c r="J53" s="2"/>
      <c r="K53" s="86"/>
      <c r="L53" s="87"/>
      <c r="M53" s="87"/>
      <c r="N53" s="87"/>
      <c r="O53" s="87"/>
      <c r="P53" s="87"/>
      <c r="Q53" s="87"/>
      <c r="R53" s="87"/>
      <c r="S53" s="88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pans="1:39" ht="14.4" customHeight="1" x14ac:dyDescent="0.3">
      <c r="A54" s="81"/>
      <c r="B54" s="25"/>
      <c r="C54" s="27"/>
      <c r="D54" s="9"/>
      <c r="E54" s="3"/>
      <c r="F54" s="3"/>
      <c r="G54" s="2"/>
      <c r="H54" s="8" t="s">
        <v>18</v>
      </c>
      <c r="I54" s="8" t="s">
        <v>22</v>
      </c>
      <c r="J54" s="2"/>
      <c r="K54" s="86"/>
      <c r="L54" s="87"/>
      <c r="M54" s="87"/>
      <c r="N54" s="87"/>
      <c r="O54" s="87"/>
      <c r="P54" s="87"/>
      <c r="Q54" s="87"/>
      <c r="R54" s="87"/>
      <c r="S54" s="88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4.4" customHeight="1" x14ac:dyDescent="0.3">
      <c r="A55" s="81"/>
      <c r="B55" s="25" t="s">
        <v>48</v>
      </c>
      <c r="C55" s="27">
        <v>32235</v>
      </c>
      <c r="D55" s="9">
        <v>9146</v>
      </c>
      <c r="E55" s="4">
        <v>455</v>
      </c>
      <c r="F55" s="52">
        <f>E55/C55</f>
        <v>1.4115092290988056E-2</v>
      </c>
      <c r="G55" s="2"/>
      <c r="H55" s="27" t="s">
        <v>51</v>
      </c>
      <c r="I55" s="53">
        <f>F55/F56</f>
        <v>1.1470577671686655</v>
      </c>
      <c r="J55" s="2"/>
      <c r="K55" s="86"/>
      <c r="L55" s="87"/>
      <c r="M55" s="87"/>
      <c r="N55" s="87"/>
      <c r="O55" s="87"/>
      <c r="P55" s="87"/>
      <c r="Q55" s="87"/>
      <c r="R55" s="87"/>
      <c r="S55" s="88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4.4" customHeight="1" x14ac:dyDescent="0.3">
      <c r="A56" s="81"/>
      <c r="B56" s="25" t="s">
        <v>49</v>
      </c>
      <c r="C56" s="27">
        <v>31937</v>
      </c>
      <c r="D56" s="9">
        <v>9274</v>
      </c>
      <c r="E56" s="4">
        <v>393</v>
      </c>
      <c r="F56" s="52">
        <f>E56/C56</f>
        <v>1.2305476406675642E-2</v>
      </c>
      <c r="G56" s="2"/>
      <c r="H56" s="27" t="s">
        <v>52</v>
      </c>
      <c r="I56" s="53">
        <f>F55/F57</f>
        <v>1.2512591786145961</v>
      </c>
      <c r="J56" s="2"/>
      <c r="K56" s="86"/>
      <c r="L56" s="87"/>
      <c r="M56" s="87"/>
      <c r="N56" s="87"/>
      <c r="O56" s="87"/>
      <c r="P56" s="87"/>
      <c r="Q56" s="87"/>
      <c r="R56" s="87"/>
      <c r="S56" s="88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4.4" customHeight="1" x14ac:dyDescent="0.3">
      <c r="A57" s="81"/>
      <c r="B57" s="25" t="s">
        <v>50</v>
      </c>
      <c r="C57" s="27">
        <v>32888</v>
      </c>
      <c r="D57" s="9">
        <v>9155</v>
      </c>
      <c r="E57" s="4">
        <v>371</v>
      </c>
      <c r="F57" s="52">
        <f>E57/C57</f>
        <v>1.1280710289467283E-2</v>
      </c>
      <c r="G57" s="2"/>
      <c r="H57" s="27" t="s">
        <v>19</v>
      </c>
      <c r="I57" s="53">
        <f>F56/F57</f>
        <v>1.090842339791775</v>
      </c>
      <c r="J57" s="2"/>
      <c r="K57" s="86"/>
      <c r="L57" s="87"/>
      <c r="M57" s="87"/>
      <c r="N57" s="87"/>
      <c r="O57" s="87"/>
      <c r="P57" s="87"/>
      <c r="Q57" s="87"/>
      <c r="R57" s="87"/>
      <c r="S57" s="8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4.4" customHeight="1" x14ac:dyDescent="0.3">
      <c r="A58" s="81"/>
      <c r="B58" s="2"/>
      <c r="C58" s="2"/>
      <c r="D58" s="2"/>
      <c r="E58" s="2"/>
      <c r="F58" s="2"/>
      <c r="G58" s="2"/>
      <c r="H58" s="2"/>
      <c r="I58" s="2"/>
      <c r="J58" s="2"/>
      <c r="K58" s="86"/>
      <c r="L58" s="87"/>
      <c r="M58" s="87"/>
      <c r="N58" s="87"/>
      <c r="O58" s="87"/>
      <c r="P58" s="87"/>
      <c r="Q58" s="87"/>
      <c r="R58" s="87"/>
      <c r="S58" s="88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s="6" customFormat="1" ht="15" customHeight="1" x14ac:dyDescent="0.3">
      <c r="A59" s="81"/>
      <c r="B59" s="2"/>
      <c r="C59" s="2"/>
      <c r="D59" s="2"/>
      <c r="E59" s="2"/>
      <c r="F59" s="2"/>
      <c r="G59" s="2"/>
      <c r="H59" s="2"/>
      <c r="I59" s="32"/>
      <c r="J59" s="32"/>
      <c r="K59" s="86"/>
      <c r="L59" s="87"/>
      <c r="M59" s="87"/>
      <c r="N59" s="87"/>
      <c r="O59" s="87"/>
      <c r="P59" s="87"/>
      <c r="Q59" s="87"/>
      <c r="R59" s="87"/>
      <c r="S59" s="88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</row>
    <row r="60" spans="1:39" ht="14.4" customHeight="1" x14ac:dyDescent="0.3">
      <c r="A60" s="81"/>
      <c r="B60" s="2"/>
      <c r="C60" s="2"/>
      <c r="D60" s="2"/>
      <c r="E60" s="2"/>
      <c r="F60" s="2"/>
      <c r="G60" s="2"/>
      <c r="H60" s="2"/>
      <c r="I60" s="2"/>
      <c r="J60" s="2"/>
      <c r="K60" s="86"/>
      <c r="L60" s="87"/>
      <c r="M60" s="87"/>
      <c r="N60" s="87"/>
      <c r="O60" s="87"/>
      <c r="P60" s="87"/>
      <c r="Q60" s="87"/>
      <c r="R60" s="87"/>
      <c r="S60" s="88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4.4" customHeight="1" x14ac:dyDescent="0.3">
      <c r="A61" s="81"/>
      <c r="B61" s="2"/>
      <c r="C61" s="2"/>
      <c r="D61" s="2"/>
      <c r="E61" s="2"/>
      <c r="F61" s="2"/>
      <c r="G61" s="2"/>
      <c r="H61" s="2"/>
      <c r="I61" s="2"/>
      <c r="J61" s="2"/>
      <c r="K61" s="86"/>
      <c r="L61" s="87"/>
      <c r="M61" s="87"/>
      <c r="N61" s="87"/>
      <c r="O61" s="87"/>
      <c r="P61" s="87"/>
      <c r="Q61" s="87"/>
      <c r="R61" s="87"/>
      <c r="S61" s="88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4.4" customHeight="1" x14ac:dyDescent="0.3">
      <c r="A62" s="81"/>
      <c r="B62" s="2"/>
      <c r="C62" s="2"/>
      <c r="D62" s="2"/>
      <c r="E62" s="2"/>
      <c r="F62" s="2"/>
      <c r="G62" s="2"/>
      <c r="H62" s="2"/>
      <c r="I62" s="2"/>
      <c r="J62" s="2"/>
      <c r="K62" s="86"/>
      <c r="L62" s="87"/>
      <c r="M62" s="87"/>
      <c r="N62" s="87"/>
      <c r="O62" s="87"/>
      <c r="P62" s="87"/>
      <c r="Q62" s="87"/>
      <c r="R62" s="87"/>
      <c r="S62" s="88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4.4" customHeight="1" x14ac:dyDescent="0.3">
      <c r="A63" s="81"/>
      <c r="B63" s="2"/>
      <c r="C63" s="2"/>
      <c r="D63" s="2"/>
      <c r="E63" s="2"/>
      <c r="F63" s="2"/>
      <c r="G63" s="2"/>
      <c r="H63" s="2"/>
      <c r="I63" s="2"/>
      <c r="J63" s="2"/>
      <c r="K63" s="86"/>
      <c r="L63" s="87"/>
      <c r="M63" s="87"/>
      <c r="N63" s="87"/>
      <c r="O63" s="87"/>
      <c r="P63" s="87"/>
      <c r="Q63" s="87"/>
      <c r="R63" s="87"/>
      <c r="S63" s="88"/>
      <c r="T63" s="2"/>
      <c r="U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4.4" customHeight="1" x14ac:dyDescent="0.3">
      <c r="A64" s="81"/>
      <c r="B64" s="2"/>
      <c r="C64" s="2"/>
      <c r="D64" s="2"/>
      <c r="E64" s="2"/>
      <c r="F64" s="2"/>
      <c r="G64" s="2"/>
      <c r="H64" s="2"/>
      <c r="I64" s="2"/>
      <c r="J64" s="2"/>
      <c r="K64" s="86"/>
      <c r="L64" s="87"/>
      <c r="M64" s="87"/>
      <c r="N64" s="87"/>
      <c r="O64" s="87"/>
      <c r="P64" s="87"/>
      <c r="Q64" s="87"/>
      <c r="R64" s="87"/>
      <c r="S64" s="88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4.4" customHeight="1" x14ac:dyDescent="0.3">
      <c r="A65" s="81"/>
      <c r="B65" s="2"/>
      <c r="C65" s="2"/>
      <c r="D65" s="2"/>
      <c r="E65" s="2"/>
      <c r="F65" s="2"/>
      <c r="G65" s="2"/>
      <c r="H65" s="2"/>
      <c r="I65" s="2"/>
      <c r="J65" s="2"/>
      <c r="K65" s="86"/>
      <c r="L65" s="87"/>
      <c r="M65" s="87"/>
      <c r="N65" s="87"/>
      <c r="O65" s="87"/>
      <c r="P65" s="87"/>
      <c r="Q65" s="87"/>
      <c r="R65" s="87"/>
      <c r="S65" s="88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4.4" customHeight="1" x14ac:dyDescent="0.3">
      <c r="A66" s="81"/>
      <c r="B66" s="29"/>
      <c r="C66" s="29"/>
      <c r="D66" s="30"/>
      <c r="E66" s="2"/>
      <c r="F66" s="2"/>
      <c r="G66" s="2"/>
      <c r="H66" s="2"/>
      <c r="I66" s="2"/>
      <c r="J66" s="2"/>
      <c r="K66" s="86"/>
      <c r="L66" s="87"/>
      <c r="M66" s="87"/>
      <c r="N66" s="87"/>
      <c r="O66" s="87"/>
      <c r="P66" s="87"/>
      <c r="Q66" s="87"/>
      <c r="R66" s="87"/>
      <c r="S66" s="88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27" customHeight="1" thickBot="1" x14ac:dyDescent="0.35">
      <c r="A67" s="82"/>
      <c r="B67" s="29"/>
      <c r="C67" s="29"/>
      <c r="D67" s="30"/>
      <c r="E67" s="2"/>
      <c r="F67" s="2"/>
      <c r="G67" s="2"/>
      <c r="H67" s="2"/>
      <c r="I67" s="2"/>
      <c r="J67" s="2"/>
      <c r="K67" s="89"/>
      <c r="L67" s="90"/>
      <c r="M67" s="90"/>
      <c r="N67" s="90"/>
      <c r="O67" s="90"/>
      <c r="P67" s="90"/>
      <c r="Q67" s="90"/>
      <c r="R67" s="90"/>
      <c r="S67" s="9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s="47" customFormat="1" x14ac:dyDescent="0.3">
      <c r="A68" s="44"/>
      <c r="B68" s="45"/>
      <c r="C68" s="45"/>
      <c r="D68" s="46"/>
    </row>
    <row r="69" spans="1:39" s="51" customFormat="1" ht="15" thickBot="1" x14ac:dyDescent="0.35">
      <c r="A69" s="48"/>
      <c r="B69" s="49"/>
      <c r="C69" s="49"/>
      <c r="D69" s="50"/>
    </row>
  </sheetData>
  <mergeCells count="14">
    <mergeCell ref="A46:A67"/>
    <mergeCell ref="B46:H47"/>
    <mergeCell ref="K46:S47"/>
    <mergeCell ref="K48:S67"/>
    <mergeCell ref="K1:S2"/>
    <mergeCell ref="K3:S19"/>
    <mergeCell ref="A22:A43"/>
    <mergeCell ref="K22:S23"/>
    <mergeCell ref="K24:S43"/>
    <mergeCell ref="B2:H2"/>
    <mergeCell ref="B8:H8"/>
    <mergeCell ref="B14:H14"/>
    <mergeCell ref="A2:A19"/>
    <mergeCell ref="B22:H2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4"/>
  <sheetViews>
    <sheetView workbookViewId="0">
      <selection activeCell="D8" sqref="D8"/>
    </sheetView>
  </sheetViews>
  <sheetFormatPr defaultRowHeight="14.4" x14ac:dyDescent="0.3"/>
  <cols>
    <col min="2" max="2" width="7.6640625" bestFit="1" customWidth="1"/>
    <col min="3" max="3" width="13.77734375" bestFit="1" customWidth="1"/>
    <col min="4" max="4" width="23.109375" bestFit="1" customWidth="1"/>
    <col min="5" max="5" width="14.88671875" bestFit="1" customWidth="1"/>
    <col min="7" max="7" width="19.33203125" customWidth="1"/>
    <col min="8" max="8" width="20.6640625" customWidth="1"/>
    <col min="9" max="9" width="15.6640625" customWidth="1"/>
    <col min="11" max="11" width="13.77734375" customWidth="1"/>
    <col min="12" max="12" width="16.44140625" customWidth="1"/>
    <col min="13" max="13" width="18.33203125" customWidth="1"/>
    <col min="15" max="15" width="13.77734375" customWidth="1"/>
    <col min="16" max="16" width="16.44140625" customWidth="1"/>
    <col min="17" max="17" width="18.33203125" customWidth="1"/>
  </cols>
  <sheetData>
    <row r="1" spans="2:17" x14ac:dyDescent="0.3">
      <c r="B1" s="110" t="s">
        <v>34</v>
      </c>
      <c r="C1" s="110"/>
      <c r="D1" s="110"/>
      <c r="E1" s="110"/>
      <c r="G1" s="110" t="s">
        <v>38</v>
      </c>
      <c r="H1" s="110"/>
      <c r="I1" s="110"/>
    </row>
    <row r="2" spans="2:17" ht="33" customHeight="1" x14ac:dyDescent="0.3">
      <c r="B2" s="110"/>
      <c r="C2" s="110"/>
      <c r="D2" s="110"/>
      <c r="E2" s="110"/>
      <c r="G2" s="110"/>
      <c r="H2" s="110"/>
      <c r="I2" s="110"/>
    </row>
    <row r="3" spans="2:17" ht="15" thickBot="1" x14ac:dyDescent="0.35"/>
    <row r="4" spans="2:17" ht="14.4" customHeight="1" x14ac:dyDescent="0.3">
      <c r="B4" s="104" t="s">
        <v>28</v>
      </c>
      <c r="C4" s="105"/>
      <c r="D4" s="105"/>
      <c r="E4" s="106"/>
      <c r="G4" s="104" t="s">
        <v>36</v>
      </c>
      <c r="H4" s="105"/>
      <c r="I4" s="106"/>
      <c r="K4" s="104" t="s">
        <v>39</v>
      </c>
      <c r="L4" s="105"/>
      <c r="M4" s="106"/>
      <c r="O4" s="104" t="s">
        <v>41</v>
      </c>
      <c r="P4" s="105"/>
      <c r="Q4" s="106"/>
    </row>
    <row r="5" spans="2:17" ht="15" customHeight="1" thickBot="1" x14ac:dyDescent="0.35">
      <c r="B5" s="107"/>
      <c r="C5" s="108"/>
      <c r="D5" s="108"/>
      <c r="E5" s="109"/>
      <c r="G5" s="107"/>
      <c r="H5" s="108"/>
      <c r="I5" s="109"/>
      <c r="K5" s="107"/>
      <c r="L5" s="108"/>
      <c r="M5" s="109"/>
      <c r="O5" s="107"/>
      <c r="P5" s="108"/>
      <c r="Q5" s="109"/>
    </row>
    <row r="6" spans="2:17" x14ac:dyDescent="0.3">
      <c r="B6" s="54" t="s">
        <v>24</v>
      </c>
      <c r="C6" s="54" t="s">
        <v>27</v>
      </c>
      <c r="D6" s="54" t="s">
        <v>26</v>
      </c>
      <c r="E6" s="54" t="s">
        <v>25</v>
      </c>
      <c r="G6" s="54" t="s">
        <v>24</v>
      </c>
      <c r="H6" s="54" t="s">
        <v>27</v>
      </c>
      <c r="I6" s="54" t="s">
        <v>25</v>
      </c>
      <c r="K6" s="54" t="s">
        <v>24</v>
      </c>
      <c r="L6" s="54" t="s">
        <v>27</v>
      </c>
      <c r="M6" s="54" t="s">
        <v>25</v>
      </c>
      <c r="O6" s="54" t="s">
        <v>24</v>
      </c>
      <c r="P6" s="54" t="s">
        <v>27</v>
      </c>
      <c r="Q6" s="54" t="s">
        <v>25</v>
      </c>
    </row>
    <row r="7" spans="2:17" x14ac:dyDescent="0.3">
      <c r="B7" s="55">
        <v>6</v>
      </c>
      <c r="C7" s="55">
        <v>321</v>
      </c>
      <c r="D7" s="55">
        <v>288</v>
      </c>
      <c r="E7" s="55">
        <v>0</v>
      </c>
      <c r="G7" s="55">
        <v>6</v>
      </c>
      <c r="H7" s="55"/>
      <c r="I7" s="55"/>
      <c r="K7" s="55">
        <v>6</v>
      </c>
      <c r="L7" s="55"/>
      <c r="M7" s="55"/>
      <c r="O7" s="55">
        <v>6</v>
      </c>
      <c r="P7" s="55"/>
      <c r="Q7" s="55"/>
    </row>
    <row r="8" spans="2:17" x14ac:dyDescent="0.3">
      <c r="B8" s="55">
        <v>8</v>
      </c>
      <c r="C8" s="55">
        <v>425</v>
      </c>
      <c r="D8" s="55">
        <v>383</v>
      </c>
      <c r="E8" s="55">
        <v>2</v>
      </c>
      <c r="G8" s="55">
        <v>8</v>
      </c>
      <c r="H8" s="55">
        <v>1</v>
      </c>
      <c r="I8" s="55">
        <v>1</v>
      </c>
      <c r="K8" s="55">
        <v>8</v>
      </c>
      <c r="L8" s="55">
        <v>1</v>
      </c>
      <c r="M8" s="55">
        <v>1</v>
      </c>
      <c r="O8" s="55">
        <v>8</v>
      </c>
      <c r="P8" s="55">
        <v>2</v>
      </c>
      <c r="Q8" s="55">
        <v>2</v>
      </c>
    </row>
    <row r="9" spans="2:17" x14ac:dyDescent="0.3">
      <c r="B9" s="55">
        <v>9</v>
      </c>
      <c r="C9" s="55">
        <v>411</v>
      </c>
      <c r="D9" s="55">
        <v>367</v>
      </c>
      <c r="E9" s="55">
        <v>0</v>
      </c>
      <c r="G9" s="55">
        <v>9</v>
      </c>
      <c r="H9" s="55"/>
      <c r="I9" s="55"/>
      <c r="K9" s="55">
        <v>9</v>
      </c>
      <c r="L9" s="55"/>
      <c r="M9" s="55"/>
      <c r="O9" s="55">
        <v>9</v>
      </c>
      <c r="P9" s="55"/>
      <c r="Q9" s="55"/>
    </row>
    <row r="10" spans="2:17" ht="15" thickBot="1" x14ac:dyDescent="0.35"/>
    <row r="11" spans="2:17" ht="14.4" customHeight="1" x14ac:dyDescent="0.3">
      <c r="B11" s="104" t="s">
        <v>29</v>
      </c>
      <c r="C11" s="105"/>
      <c r="D11" s="105"/>
      <c r="E11" s="106"/>
    </row>
    <row r="12" spans="2:17" ht="14.4" customHeight="1" thickBot="1" x14ac:dyDescent="0.35">
      <c r="B12" s="107"/>
      <c r="C12" s="108"/>
      <c r="D12" s="108"/>
      <c r="E12" s="109"/>
    </row>
    <row r="13" spans="2:17" x14ac:dyDescent="0.3">
      <c r="B13" s="54" t="s">
        <v>24</v>
      </c>
      <c r="C13" s="54" t="s">
        <v>23</v>
      </c>
      <c r="D13" s="54" t="s">
        <v>26</v>
      </c>
      <c r="E13" s="54" t="s">
        <v>25</v>
      </c>
    </row>
    <row r="14" spans="2:17" x14ac:dyDescent="0.3">
      <c r="B14" s="55">
        <v>6</v>
      </c>
      <c r="C14" s="55">
        <v>421</v>
      </c>
      <c r="D14" s="55">
        <v>361</v>
      </c>
      <c r="E14" s="55">
        <v>0</v>
      </c>
    </row>
    <row r="15" spans="2:17" x14ac:dyDescent="0.3">
      <c r="B15" s="55">
        <v>8</v>
      </c>
      <c r="C15" s="55">
        <v>565</v>
      </c>
      <c r="D15" s="55">
        <v>473</v>
      </c>
      <c r="E15" s="55">
        <v>4</v>
      </c>
    </row>
    <row r="16" spans="2:17" x14ac:dyDescent="0.3">
      <c r="B16" s="55">
        <v>9</v>
      </c>
      <c r="C16" s="55">
        <v>558</v>
      </c>
      <c r="D16" s="55">
        <v>469</v>
      </c>
      <c r="E16" s="55">
        <v>0</v>
      </c>
    </row>
    <row r="17" spans="2:13" ht="15" thickBot="1" x14ac:dyDescent="0.35"/>
    <row r="18" spans="2:13" ht="14.4" customHeight="1" x14ac:dyDescent="0.3">
      <c r="B18" s="104" t="s">
        <v>30</v>
      </c>
      <c r="C18" s="105"/>
      <c r="D18" s="105"/>
      <c r="E18" s="106"/>
      <c r="K18" s="104" t="s">
        <v>45</v>
      </c>
      <c r="L18" s="105"/>
      <c r="M18" s="106"/>
    </row>
    <row r="19" spans="2:13" ht="14.4" customHeight="1" thickBot="1" x14ac:dyDescent="0.35">
      <c r="B19" s="107"/>
      <c r="C19" s="108"/>
      <c r="D19" s="108"/>
      <c r="E19" s="109"/>
      <c r="K19" s="107"/>
      <c r="L19" s="108"/>
      <c r="M19" s="109"/>
    </row>
    <row r="20" spans="2:13" x14ac:dyDescent="0.3">
      <c r="B20" s="54" t="s">
        <v>24</v>
      </c>
      <c r="C20" s="54" t="s">
        <v>23</v>
      </c>
      <c r="D20" s="54" t="s">
        <v>26</v>
      </c>
      <c r="E20" s="54" t="s">
        <v>25</v>
      </c>
      <c r="K20" s="54" t="s">
        <v>24</v>
      </c>
      <c r="L20" s="54" t="s">
        <v>23</v>
      </c>
      <c r="M20" s="54" t="s">
        <v>25</v>
      </c>
    </row>
    <row r="21" spans="2:13" x14ac:dyDescent="0.3">
      <c r="B21" s="55">
        <v>6</v>
      </c>
      <c r="C21" s="55">
        <v>791</v>
      </c>
      <c r="D21" s="55">
        <v>602</v>
      </c>
      <c r="E21" s="55">
        <v>3</v>
      </c>
      <c r="K21" s="55">
        <v>6</v>
      </c>
      <c r="L21" s="55">
        <v>6</v>
      </c>
      <c r="M21" s="55">
        <v>2</v>
      </c>
    </row>
    <row r="22" spans="2:13" x14ac:dyDescent="0.3">
      <c r="B22" s="55">
        <v>8</v>
      </c>
      <c r="C22" s="55">
        <v>939</v>
      </c>
      <c r="D22" s="55">
        <v>717</v>
      </c>
      <c r="E22" s="55">
        <v>6</v>
      </c>
      <c r="K22" s="55">
        <v>8</v>
      </c>
      <c r="L22" s="55">
        <v>4</v>
      </c>
      <c r="M22" s="55">
        <v>4</v>
      </c>
    </row>
    <row r="23" spans="2:13" x14ac:dyDescent="0.3">
      <c r="B23" s="55">
        <v>9</v>
      </c>
      <c r="C23" s="55">
        <v>938</v>
      </c>
      <c r="D23" s="55">
        <v>726</v>
      </c>
      <c r="E23" s="55">
        <v>1</v>
      </c>
      <c r="K23" s="55">
        <v>9</v>
      </c>
      <c r="L23" s="55">
        <v>1</v>
      </c>
      <c r="M23" s="55">
        <v>1</v>
      </c>
    </row>
    <row r="24" spans="2:13" ht="15" thickBot="1" x14ac:dyDescent="0.35"/>
    <row r="25" spans="2:13" ht="14.4" customHeight="1" x14ac:dyDescent="0.3">
      <c r="B25" s="104" t="s">
        <v>31</v>
      </c>
      <c r="C25" s="105"/>
      <c r="D25" s="105"/>
      <c r="E25" s="106"/>
    </row>
    <row r="26" spans="2:13" ht="14.4" customHeight="1" thickBot="1" x14ac:dyDescent="0.35">
      <c r="B26" s="107"/>
      <c r="C26" s="108"/>
      <c r="D26" s="108"/>
      <c r="E26" s="109"/>
    </row>
    <row r="27" spans="2:13" x14ac:dyDescent="0.3">
      <c r="B27" s="54" t="s">
        <v>24</v>
      </c>
      <c r="C27" s="54" t="s">
        <v>23</v>
      </c>
      <c r="D27" s="54" t="s">
        <v>26</v>
      </c>
      <c r="E27" s="54" t="s">
        <v>25</v>
      </c>
    </row>
    <row r="28" spans="2:13" x14ac:dyDescent="0.3">
      <c r="B28" s="55">
        <v>6</v>
      </c>
      <c r="C28" s="55">
        <v>2098</v>
      </c>
      <c r="D28" s="55">
        <v>759</v>
      </c>
      <c r="E28" s="55">
        <v>3</v>
      </c>
    </row>
    <row r="29" spans="2:13" x14ac:dyDescent="0.3">
      <c r="B29" s="55">
        <v>8</v>
      </c>
      <c r="C29" s="55">
        <v>2210</v>
      </c>
      <c r="D29" s="55">
        <v>858</v>
      </c>
      <c r="E29" s="55">
        <v>8</v>
      </c>
    </row>
    <row r="30" spans="2:13" x14ac:dyDescent="0.3">
      <c r="B30" s="55">
        <v>9</v>
      </c>
      <c r="C30" s="55">
        <v>2312</v>
      </c>
      <c r="D30" s="55">
        <v>882</v>
      </c>
      <c r="E30" s="55">
        <v>2</v>
      </c>
    </row>
    <row r="31" spans="2:13" ht="15" thickBot="1" x14ac:dyDescent="0.35"/>
    <row r="32" spans="2:13" ht="14.4" customHeight="1" x14ac:dyDescent="0.3">
      <c r="B32" s="104" t="s">
        <v>32</v>
      </c>
      <c r="C32" s="105"/>
      <c r="D32" s="105"/>
      <c r="E32" s="106"/>
    </row>
    <row r="33" spans="2:17" ht="14.4" customHeight="1" thickBot="1" x14ac:dyDescent="0.35">
      <c r="B33" s="107"/>
      <c r="C33" s="108"/>
      <c r="D33" s="108"/>
      <c r="E33" s="109"/>
    </row>
    <row r="34" spans="2:17" x14ac:dyDescent="0.3">
      <c r="B34" s="54" t="s">
        <v>24</v>
      </c>
      <c r="C34" s="54" t="s">
        <v>23</v>
      </c>
      <c r="D34" s="54" t="s">
        <v>26</v>
      </c>
      <c r="E34" s="54" t="s">
        <v>25</v>
      </c>
    </row>
    <row r="35" spans="2:17" x14ac:dyDescent="0.3">
      <c r="B35" s="55">
        <v>6</v>
      </c>
      <c r="C35" s="55">
        <v>6755</v>
      </c>
      <c r="D35" s="55">
        <v>1352</v>
      </c>
      <c r="E35" s="55">
        <v>6</v>
      </c>
    </row>
    <row r="36" spans="2:17" x14ac:dyDescent="0.3">
      <c r="B36" s="55">
        <v>8</v>
      </c>
      <c r="C36" s="55">
        <v>6446</v>
      </c>
      <c r="D36" s="55">
        <v>1406</v>
      </c>
      <c r="E36" s="55">
        <v>8</v>
      </c>
    </row>
    <row r="37" spans="2:17" x14ac:dyDescent="0.3">
      <c r="B37" s="55">
        <v>9</v>
      </c>
      <c r="C37" s="55">
        <v>6886</v>
      </c>
      <c r="D37" s="55">
        <v>1443</v>
      </c>
      <c r="E37" s="55">
        <v>4</v>
      </c>
    </row>
    <row r="38" spans="2:17" ht="15" thickBot="1" x14ac:dyDescent="0.35"/>
    <row r="39" spans="2:17" ht="14.4" customHeight="1" x14ac:dyDescent="0.3">
      <c r="B39" s="104" t="s">
        <v>33</v>
      </c>
      <c r="C39" s="105"/>
      <c r="D39" s="105"/>
      <c r="E39" s="106"/>
      <c r="G39" s="104" t="s">
        <v>37</v>
      </c>
      <c r="H39" s="105"/>
      <c r="I39" s="106"/>
      <c r="K39" s="104" t="s">
        <v>40</v>
      </c>
      <c r="L39" s="105"/>
      <c r="M39" s="106"/>
      <c r="O39" s="104" t="s">
        <v>42</v>
      </c>
      <c r="P39" s="105"/>
      <c r="Q39" s="106"/>
    </row>
    <row r="40" spans="2:17" ht="15" customHeight="1" thickBot="1" x14ac:dyDescent="0.35">
      <c r="B40" s="107"/>
      <c r="C40" s="108"/>
      <c r="D40" s="108"/>
      <c r="E40" s="109"/>
      <c r="G40" s="107"/>
      <c r="H40" s="108"/>
      <c r="I40" s="109"/>
      <c r="K40" s="107"/>
      <c r="L40" s="108"/>
      <c r="M40" s="109"/>
      <c r="O40" s="107"/>
      <c r="P40" s="108"/>
      <c r="Q40" s="109"/>
    </row>
    <row r="41" spans="2:17" x14ac:dyDescent="0.3">
      <c r="B41" s="54" t="s">
        <v>24</v>
      </c>
      <c r="C41" s="54" t="s">
        <v>23</v>
      </c>
      <c r="D41" s="54" t="s">
        <v>26</v>
      </c>
      <c r="E41" s="54" t="s">
        <v>25</v>
      </c>
      <c r="G41" s="54" t="s">
        <v>24</v>
      </c>
      <c r="H41" s="54" t="s">
        <v>23</v>
      </c>
      <c r="I41" s="54" t="s">
        <v>25</v>
      </c>
      <c r="K41" s="54" t="s">
        <v>24</v>
      </c>
      <c r="L41" s="54" t="s">
        <v>23</v>
      </c>
      <c r="M41" s="54" t="s">
        <v>25</v>
      </c>
      <c r="O41" s="54" t="s">
        <v>24</v>
      </c>
      <c r="P41" s="54" t="s">
        <v>23</v>
      </c>
      <c r="Q41" s="54" t="s">
        <v>25</v>
      </c>
    </row>
    <row r="42" spans="2:17" x14ac:dyDescent="0.3">
      <c r="B42" s="55">
        <v>6</v>
      </c>
      <c r="C42" s="55">
        <v>16350</v>
      </c>
      <c r="D42" s="55">
        <v>2443</v>
      </c>
      <c r="E42" s="55">
        <v>9</v>
      </c>
      <c r="G42" s="55">
        <v>6</v>
      </c>
      <c r="H42" s="55">
        <v>32</v>
      </c>
      <c r="I42" s="55">
        <v>8</v>
      </c>
      <c r="K42" s="55">
        <v>6</v>
      </c>
      <c r="L42" s="55">
        <v>38</v>
      </c>
      <c r="M42" s="55">
        <v>8</v>
      </c>
      <c r="O42" s="55">
        <v>6</v>
      </c>
      <c r="P42" s="55">
        <v>38</v>
      </c>
      <c r="Q42" s="55">
        <v>8</v>
      </c>
    </row>
    <row r="43" spans="2:17" x14ac:dyDescent="0.3">
      <c r="B43" s="55">
        <v>8</v>
      </c>
      <c r="C43" s="55">
        <v>15521</v>
      </c>
      <c r="D43" s="55">
        <v>2460</v>
      </c>
      <c r="E43" s="55">
        <v>8</v>
      </c>
      <c r="G43" s="55">
        <v>8</v>
      </c>
      <c r="H43" s="55">
        <v>25</v>
      </c>
      <c r="I43" s="55">
        <v>8</v>
      </c>
      <c r="K43" s="55">
        <v>8</v>
      </c>
      <c r="L43" s="55">
        <v>25</v>
      </c>
      <c r="M43" s="55">
        <v>8</v>
      </c>
      <c r="O43" s="55">
        <v>8</v>
      </c>
      <c r="P43" s="55">
        <v>27</v>
      </c>
      <c r="Q43" s="55">
        <v>8</v>
      </c>
    </row>
    <row r="44" spans="2:17" x14ac:dyDescent="0.3">
      <c r="B44" s="55">
        <v>9</v>
      </c>
      <c r="C44" s="55">
        <v>16328</v>
      </c>
      <c r="D44" s="55">
        <v>2519</v>
      </c>
      <c r="E44" s="55">
        <v>4</v>
      </c>
      <c r="G44" s="55">
        <v>9</v>
      </c>
      <c r="H44" s="55">
        <v>10</v>
      </c>
      <c r="I44" s="55">
        <v>4</v>
      </c>
      <c r="K44" s="55">
        <v>9</v>
      </c>
      <c r="L44" s="55">
        <v>10</v>
      </c>
      <c r="M44" s="55">
        <v>4</v>
      </c>
      <c r="O44" s="55">
        <v>9</v>
      </c>
      <c r="P44" s="55">
        <v>10</v>
      </c>
      <c r="Q44" s="55">
        <v>4</v>
      </c>
    </row>
  </sheetData>
  <mergeCells count="15">
    <mergeCell ref="O4:Q5"/>
    <mergeCell ref="O39:Q40"/>
    <mergeCell ref="K18:M19"/>
    <mergeCell ref="B39:E40"/>
    <mergeCell ref="B1:E2"/>
    <mergeCell ref="G39:I40"/>
    <mergeCell ref="K4:M5"/>
    <mergeCell ref="K39:M40"/>
    <mergeCell ref="G1:I2"/>
    <mergeCell ref="G4:I5"/>
    <mergeCell ref="B4:E5"/>
    <mergeCell ref="B11:E12"/>
    <mergeCell ref="B18:E19"/>
    <mergeCell ref="B25:E26"/>
    <mergeCell ref="B32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Banners</vt:lpstr>
      <vt:lpstr>Data &amp; verdict</vt:lpstr>
      <vt:lpstr>Interesting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2019-04-08T11:27:09Z</dcterms:modified>
</cp:coreProperties>
</file>