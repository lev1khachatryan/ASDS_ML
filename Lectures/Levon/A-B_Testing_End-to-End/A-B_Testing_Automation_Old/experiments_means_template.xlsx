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_Files\MyProjects\A-B_Testing_Automation\"/>
    </mc:Choice>
  </mc:AlternateContent>
  <xr:revisionPtr revIDLastSave="0" documentId="13_ncr:1_{E3DD646F-BACF-4895-8663-FBA5CDF7FE7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  <sheet name="Inpu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4" i="1"/>
  <c r="AG12" i="1" l="1"/>
  <c r="AG11" i="1"/>
  <c r="AG10" i="1"/>
  <c r="AG9" i="1"/>
  <c r="AG8" i="1"/>
  <c r="AG7" i="1"/>
  <c r="AG5" i="1"/>
  <c r="P21" i="2" l="1"/>
  <c r="F18" i="1" s="1"/>
  <c r="P20" i="2"/>
  <c r="F17" i="1" s="1"/>
  <c r="P19" i="2"/>
  <c r="F16" i="1" s="1"/>
  <c r="P18" i="2"/>
  <c r="F15" i="1" s="1"/>
  <c r="P17" i="2"/>
  <c r="F14" i="1" s="1"/>
  <c r="P15" i="2"/>
  <c r="F12" i="1" s="1"/>
  <c r="P14" i="2"/>
  <c r="F11" i="1" s="1"/>
  <c r="P13" i="2"/>
  <c r="F10" i="1" s="1"/>
  <c r="P12" i="2"/>
  <c r="F9" i="1" s="1"/>
  <c r="P11" i="2"/>
  <c r="F8" i="1" s="1"/>
  <c r="P10" i="2"/>
  <c r="F7" i="1" s="1"/>
  <c r="P8" i="2"/>
  <c r="F5" i="1" s="1"/>
  <c r="D18" i="1"/>
  <c r="D17" i="1"/>
  <c r="D16" i="1"/>
  <c r="D15" i="1"/>
  <c r="D14" i="1"/>
  <c r="D12" i="1"/>
  <c r="D11" i="1"/>
  <c r="D10" i="1"/>
  <c r="D9" i="1"/>
  <c r="D8" i="1"/>
  <c r="D7" i="1"/>
  <c r="D5" i="1"/>
  <c r="D3" i="1"/>
  <c r="AI3" i="1" s="1"/>
  <c r="C3" i="1"/>
  <c r="AH3" i="1" s="1"/>
  <c r="C18" i="1"/>
  <c r="AH18" i="1" s="1"/>
  <c r="C17" i="1"/>
  <c r="AH17" i="1" s="1"/>
  <c r="C16" i="1"/>
  <c r="AH16" i="1" s="1"/>
  <c r="C15" i="1"/>
  <c r="AH15" i="1" s="1"/>
  <c r="C14" i="1"/>
  <c r="AH14" i="1" s="1"/>
  <c r="C12" i="1"/>
  <c r="AH12" i="1" s="1"/>
  <c r="C11" i="1"/>
  <c r="AH11" i="1" s="1"/>
  <c r="C10" i="1"/>
  <c r="AH10" i="1" s="1"/>
  <c r="C9" i="1"/>
  <c r="AH9" i="1" s="1"/>
  <c r="C8" i="1"/>
  <c r="AH8" i="1" s="1"/>
  <c r="C7" i="1"/>
  <c r="AH7" i="1" s="1"/>
  <c r="C5" i="1"/>
  <c r="AH5" i="1" s="1"/>
  <c r="N21" i="2"/>
  <c r="N20" i="2"/>
  <c r="N19" i="2"/>
  <c r="N18" i="2"/>
  <c r="N17" i="2"/>
  <c r="N15" i="2"/>
  <c r="N14" i="2"/>
  <c r="N13" i="2"/>
  <c r="N12" i="2"/>
  <c r="N11" i="2"/>
  <c r="N10" i="2"/>
  <c r="N8" i="2"/>
  <c r="AI15" i="1" l="1"/>
  <c r="AI10" i="1"/>
  <c r="AI16" i="1"/>
  <c r="AI11" i="1"/>
  <c r="AI17" i="1"/>
  <c r="AI8" i="1"/>
  <c r="AI18" i="1"/>
  <c r="AI5" i="1"/>
  <c r="AI7" i="1"/>
  <c r="AI9" i="1"/>
  <c r="AI12" i="1"/>
  <c r="AI14" i="1"/>
  <c r="E15" i="1"/>
  <c r="E12" i="1"/>
  <c r="E7" i="1"/>
  <c r="E5" i="1"/>
  <c r="E9" i="1"/>
  <c r="E10" i="1"/>
  <c r="E11" i="1"/>
  <c r="E8" i="1"/>
  <c r="E14" i="1"/>
  <c r="E16" i="1"/>
  <c r="E17" i="1"/>
  <c r="E18" i="1"/>
</calcChain>
</file>

<file path=xl/sharedStrings.xml><?xml version="1.0" encoding="utf-8"?>
<sst xmlns="http://schemas.openxmlformats.org/spreadsheetml/2006/main" count="53" uniqueCount="31">
  <si>
    <t>KPI</t>
  </si>
  <si>
    <t>UserCount</t>
  </si>
  <si>
    <t>Checkins</t>
  </si>
  <si>
    <t>Contest</t>
  </si>
  <si>
    <t>Social</t>
  </si>
  <si>
    <t>Control</t>
  </si>
  <si>
    <t>Treatment</t>
  </si>
  <si>
    <t>Learn</t>
  </si>
  <si>
    <t>Social_1</t>
  </si>
  <si>
    <t>Social_2</t>
  </si>
  <si>
    <t>Total</t>
  </si>
  <si>
    <t>diff</t>
  </si>
  <si>
    <t>Number of users</t>
  </si>
  <si>
    <t>Difference</t>
  </si>
  <si>
    <t>Increase/ 
decrease</t>
  </si>
  <si>
    <t>p-value</t>
  </si>
  <si>
    <t>power</t>
  </si>
  <si>
    <t>sig.</t>
  </si>
  <si>
    <t>min sample size</t>
  </si>
  <si>
    <t>N/A</t>
  </si>
  <si>
    <t>sig</t>
  </si>
  <si>
    <t>Value</t>
  </si>
  <si>
    <r>
      <t xml:space="preserve">Notations:
</t>
    </r>
    <r>
      <rPr>
        <b/>
        <sz val="11"/>
        <color rgb="FFFF0000"/>
        <rFont val="Calibri"/>
        <family val="2"/>
        <scheme val="minor"/>
      </rPr>
      <t>***</t>
    </r>
    <r>
      <rPr>
        <b/>
        <sz val="11"/>
        <color theme="1"/>
        <rFont val="Calibri"/>
        <family val="2"/>
        <scheme val="minor"/>
      </rPr>
      <t xml:space="preserve"> - we are very confident
</t>
    </r>
    <r>
      <rPr>
        <b/>
        <sz val="11"/>
        <color rgb="FFFF0000"/>
        <rFont val="Calibri"/>
        <family val="2"/>
        <scheme val="minor"/>
      </rPr>
      <t xml:space="preserve">**  </t>
    </r>
    <r>
      <rPr>
        <b/>
        <sz val="11"/>
        <color theme="1"/>
        <rFont val="Calibri"/>
        <family val="2"/>
        <scheme val="minor"/>
      </rPr>
      <t xml:space="preserve"> - we are confident
</t>
    </r>
    <r>
      <rPr>
        <b/>
        <sz val="11"/>
        <color rgb="FFFF0000"/>
        <rFont val="Calibri"/>
        <family val="2"/>
        <scheme val="minor"/>
      </rPr>
      <t xml:space="preserve">*    </t>
    </r>
    <r>
      <rPr>
        <b/>
        <sz val="11"/>
        <color theme="1"/>
        <rFont val="Calibri"/>
        <family val="2"/>
        <scheme val="minor"/>
      </rPr>
      <t xml:space="preserve"> - we are confident, but should be cautious
</t>
    </r>
    <r>
      <rPr>
        <b/>
        <sz val="11"/>
        <color rgb="FFFF0000"/>
        <rFont val="Calibri"/>
        <family val="2"/>
        <scheme val="minor"/>
      </rPr>
      <t>---</t>
    </r>
    <r>
      <rPr>
        <b/>
        <sz val="11"/>
        <color theme="1"/>
        <rFont val="Calibri"/>
        <family val="2"/>
        <scheme val="minor"/>
      </rPr>
      <t xml:space="preserve">   - no confidence</t>
    </r>
  </si>
  <si>
    <t>Lessons</t>
  </si>
  <si>
    <t>Q&amp;A</t>
  </si>
  <si>
    <t>Code</t>
  </si>
  <si>
    <t>Post</t>
  </si>
  <si>
    <t>UserLesson</t>
  </si>
  <si>
    <t>Learn (L+UL)</t>
  </si>
  <si>
    <t>Social_2 (P, OP, CP)</t>
  </si>
  <si>
    <t>Social_1 (UC, UP, 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</si>
</sst>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5" fillId="0" borderId="1" xfId="0" applyFont="1" applyBorder="1"/>
    <xf numFmtId="165" fontId="6" fillId="0" borderId="1" xfId="1" applyNumberFormat="1" applyFont="1" applyBorder="1"/>
    <xf numFmtId="9" fontId="7" fillId="0" borderId="1" xfId="2" applyFont="1" applyBorder="1"/>
    <xf numFmtId="0" fontId="4" fillId="0" borderId="1" xfId="0" applyFont="1" applyBorder="1"/>
    <xf numFmtId="164" fontId="0" fillId="0" borderId="1" xfId="1" applyFont="1" applyBorder="1"/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164" fontId="0" fillId="4" borderId="1" xfId="1" applyFont="1" applyFill="1" applyBorder="1"/>
    <xf numFmtId="0" fontId="10" fillId="0" borderId="1" xfId="0" applyFont="1" applyBorder="1"/>
    <xf numFmtId="0" fontId="0" fillId="4" borderId="0" xfId="0" applyFill="1"/>
    <xf numFmtId="0" fontId="11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6" borderId="0" xfId="0" applyFont="1" applyFill="1"/>
    <xf numFmtId="164" fontId="0" fillId="0" borderId="5" xfId="1" applyFont="1" applyBorder="1"/>
    <xf numFmtId="164" fontId="0" fillId="0" borderId="0" xfId="1" applyFont="1" applyBorder="1"/>
    <xf numFmtId="164" fontId="0" fillId="0" borderId="6" xfId="1" applyFont="1" applyBorder="1"/>
    <xf numFmtId="164" fontId="0" fillId="5" borderId="0" xfId="1" applyFont="1" applyFill="1"/>
    <xf numFmtId="164" fontId="0" fillId="0" borderId="7" xfId="1" applyFont="1" applyBorder="1"/>
    <xf numFmtId="164" fontId="0" fillId="0" borderId="8" xfId="1" applyFont="1" applyBorder="1"/>
    <xf numFmtId="164" fontId="0" fillId="0" borderId="9" xfId="1" applyFont="1" applyBorder="1"/>
    <xf numFmtId="165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1" xfId="1" applyNumberFormat="1" applyFont="1" applyBorder="1"/>
    <xf numFmtId="164" fontId="2" fillId="2" borderId="1" xfId="1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6" xfId="1" applyNumberFormat="1" applyFont="1" applyBorder="1"/>
    <xf numFmtId="165" fontId="0" fillId="0" borderId="9" xfId="1" applyNumberFormat="1" applyFont="1" applyBorder="1"/>
    <xf numFmtId="165" fontId="0" fillId="0" borderId="0" xfId="0" applyNumberFormat="1"/>
    <xf numFmtId="9" fontId="3" fillId="0" borderId="1" xfId="2" applyFont="1" applyBorder="1"/>
    <xf numFmtId="9" fontId="13" fillId="0" borderId="1" xfId="2" applyFont="1" applyFill="1" applyBorder="1"/>
    <xf numFmtId="164" fontId="3" fillId="0" borderId="1" xfId="1" applyFont="1" applyFill="1" applyBorder="1"/>
    <xf numFmtId="165" fontId="2" fillId="2" borderId="10" xfId="1" applyNumberFormat="1" applyFont="1" applyFill="1" applyBorder="1" applyAlignment="1">
      <alignment horizontal="center" vertical="center" wrapText="1"/>
    </xf>
    <xf numFmtId="165" fontId="2" fillId="2" borderId="11" xfId="1" applyNumberFormat="1" applyFont="1" applyFill="1" applyBorder="1" applyAlignment="1">
      <alignment horizontal="center" vertical="center" wrapText="1"/>
    </xf>
    <xf numFmtId="164" fontId="0" fillId="0" borderId="10" xfId="1" applyFont="1" applyBorder="1"/>
    <xf numFmtId="165" fontId="0" fillId="0" borderId="11" xfId="1" applyNumberFormat="1" applyFont="1" applyBorder="1"/>
    <xf numFmtId="0" fontId="0" fillId="0" borderId="10" xfId="0" applyBorder="1"/>
    <xf numFmtId="165" fontId="0" fillId="0" borderId="11" xfId="0" applyNumberFormat="1" applyBorder="1"/>
    <xf numFmtId="9" fontId="0" fillId="0" borderId="1" xfId="2" applyFont="1" applyBorder="1"/>
    <xf numFmtId="0" fontId="4" fillId="8" borderId="1" xfId="0" applyFont="1" applyFill="1" applyBorder="1"/>
    <xf numFmtId="0" fontId="10" fillId="8" borderId="1" xfId="0" applyFont="1" applyFill="1" applyBorder="1"/>
    <xf numFmtId="9" fontId="0" fillId="4" borderId="1" xfId="2" applyFont="1" applyFill="1" applyBorder="1"/>
    <xf numFmtId="9" fontId="8" fillId="0" borderId="1" xfId="2" applyFont="1" applyFill="1" applyBorder="1"/>
    <xf numFmtId="164" fontId="0" fillId="0" borderId="1" xfId="1" applyFont="1" applyFill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148523007877035E-2"/>
          <c:y val="5.9779227046689642E-2"/>
          <c:w val="0.75130389439440637"/>
          <c:h val="0.93858179787828033"/>
        </c:manualLayout>
      </c:layout>
      <c:lineChart>
        <c:grouping val="standard"/>
        <c:varyColors val="0"/>
        <c:ser>
          <c:idx val="1"/>
          <c:order val="0"/>
          <c:tx>
            <c:strRef>
              <c:f>Report!$AG$5</c:f>
              <c:strCache>
                <c:ptCount val="1"/>
                <c:pt idx="0">
                  <c:v>Checkins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Report!$AH$5:$AI$5</c:f>
              <c:numCache>
                <c:formatCode>0%</c:formatCode>
                <c:ptCount val="2"/>
                <c:pt idx="0">
                  <c:v>0</c:v>
                </c:pt>
                <c:pt idx="1">
                  <c:v>0.71676330369797681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9-4951-8270-3A9BA338B24E}"/>
            </c:ext>
          </c:extLst>
        </c:ser>
        <c:ser>
          <c:idx val="2"/>
          <c:order val="1"/>
          <c:tx>
            <c:strRef>
              <c:f>Report!$AG$7</c:f>
              <c:strCache>
                <c:ptCount val="1"/>
                <c:pt idx="0">
                  <c:v>Lessons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Report!$AH$7:$AI$7</c:f>
              <c:numCache>
                <c:formatCode>0%</c:formatCode>
                <c:ptCount val="2"/>
                <c:pt idx="0">
                  <c:v>0</c:v>
                </c:pt>
                <c:pt idx="1">
                  <c:v>0.57970687711386693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951-8270-3A9BA338B24E}"/>
            </c:ext>
          </c:extLst>
        </c:ser>
        <c:ser>
          <c:idx val="3"/>
          <c:order val="2"/>
          <c:tx>
            <c:strRef>
              <c:f>Report!$AG$8</c:f>
              <c:strCache>
                <c:ptCount val="1"/>
                <c:pt idx="0">
                  <c:v>UserLesson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Report!$AH$8:$AI$8</c:f>
              <c:numCache>
                <c:formatCode>0%</c:formatCode>
                <c:ptCount val="2"/>
                <c:pt idx="0">
                  <c:v>0</c:v>
                </c:pt>
                <c:pt idx="1">
                  <c:v>0.5481822525300788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951-8270-3A9BA338B24E}"/>
            </c:ext>
          </c:extLst>
        </c:ser>
        <c:ser>
          <c:idx val="4"/>
          <c:order val="3"/>
          <c:tx>
            <c:strRef>
              <c:f>Report!$AG$9</c:f>
              <c:strCache>
                <c:ptCount val="1"/>
                <c:pt idx="0">
                  <c:v>Post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Report!$AH$9:$AI$9</c:f>
              <c:numCache>
                <c:formatCode>0%</c:formatCode>
                <c:ptCount val="2"/>
                <c:pt idx="0">
                  <c:v>0</c:v>
                </c:pt>
                <c:pt idx="1">
                  <c:v>1.6597453822108554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59-4951-8270-3A9BA338B24E}"/>
            </c:ext>
          </c:extLst>
        </c:ser>
        <c:ser>
          <c:idx val="5"/>
          <c:order val="4"/>
          <c:tx>
            <c:strRef>
              <c:f>Report!$AG$10</c:f>
              <c:strCache>
                <c:ptCount val="1"/>
                <c:pt idx="0">
                  <c:v>Code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Report!$AH$10:$AI$10</c:f>
              <c:numCache>
                <c:formatCode>0%</c:formatCode>
                <c:ptCount val="2"/>
                <c:pt idx="0">
                  <c:v>0</c:v>
                </c:pt>
                <c:pt idx="1">
                  <c:v>2.6209884030088841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59-4951-8270-3A9BA338B24E}"/>
            </c:ext>
          </c:extLst>
        </c:ser>
        <c:ser>
          <c:idx val="6"/>
          <c:order val="5"/>
          <c:tx>
            <c:strRef>
              <c:f>Report!$AG$11</c:f>
              <c:strCache>
                <c:ptCount val="1"/>
                <c:pt idx="0">
                  <c:v>Q&amp;A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Report!$AH$11:$AI$11</c:f>
              <c:numCache>
                <c:formatCode>0%</c:formatCode>
                <c:ptCount val="2"/>
                <c:pt idx="0">
                  <c:v>0</c:v>
                </c:pt>
                <c:pt idx="1">
                  <c:v>5.1681217943090756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59-4951-8270-3A9BA338B24E}"/>
            </c:ext>
          </c:extLst>
        </c:ser>
        <c:ser>
          <c:idx val="7"/>
          <c:order val="6"/>
          <c:tx>
            <c:strRef>
              <c:f>Report!$AG$12</c:f>
              <c:strCache>
                <c:ptCount val="1"/>
                <c:pt idx="0">
                  <c:v>Contest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Report!$AH$12:$AI$12</c:f>
              <c:numCache>
                <c:formatCode>0%</c:formatCode>
                <c:ptCount val="2"/>
                <c:pt idx="0">
                  <c:v>0</c:v>
                </c:pt>
                <c:pt idx="1">
                  <c:v>2.625542848506222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59-4951-8270-3A9BA338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28095"/>
        <c:axId val="37479375"/>
        <c:extLst>
          <c:ext xmlns:c15="http://schemas.microsoft.com/office/drawing/2012/chart" uri="{02D57815-91ED-43cb-92C2-25804820EDAC}">
            <c15:filteredLine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Report!$AG$14</c15:sqref>
                        </c15:formulaRef>
                      </c:ext>
                    </c:extLst>
                    <c:strCache>
                      <c:ptCount val="1"/>
                      <c:pt idx="0">
                        <c:v>Learn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B759-4951-8270-3A9BA338B24E}"/>
                      </c:ext>
                    </c:extLst>
                  </c:dLbl>
                  <c:dLbl>
                    <c:idx val="1"/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separator> 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Report!$AH$14:$AI$14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0.57276993510279373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B759-4951-8270-3A9BA338B24E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Report!$AG$15</c15:sqref>
                        </c15:formulaRef>
                      </c:ext>
                    </c:extLst>
                    <c:strCache>
                      <c:ptCount val="1"/>
                      <c:pt idx="0">
                        <c:v>Social_1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Report!$AH$15:$AI$15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2.2980864513924484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759-4951-8270-3A9BA338B24E}"/>
                  </c:ext>
                </c:extLst>
              </c15:ser>
            </c15:filteredLineSeries>
            <c15:filteredLine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Report!$AG$16</c15:sqref>
                        </c15:formulaRef>
                      </c:ext>
                    </c:extLst>
                    <c:strCache>
                      <c:ptCount val="1"/>
                      <c:pt idx="0">
                        <c:v>Social_2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Report!$AH$16:$AI$16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3.0012246126071913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59-4951-8270-3A9BA338B24E}"/>
                  </c:ext>
                </c:extLst>
              </c15:ser>
            </c15:filteredLineSeries>
            <c15:filteredLine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Report!$AG$17</c15:sqref>
                        </c15:formulaRef>
                      </c:ext>
                    </c:extLst>
                    <c:strCache>
                      <c:ptCount val="1"/>
                      <c:pt idx="0">
                        <c:v>Social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Report!$AH$17:$AI$17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2.4373074219261981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759-4951-8270-3A9BA338B24E}"/>
                  </c:ext>
                </c:extLst>
              </c15:ser>
            </c15:filteredLineSeries>
            <c15:filteredLine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Report!$AH$18:$AI$18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1.721364058411412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759-4951-8270-3A9BA338B24E}"/>
                  </c:ext>
                </c:extLst>
              </c15:ser>
            </c15:filteredLineSeries>
          </c:ext>
        </c:extLst>
      </c:lineChart>
      <c:catAx>
        <c:axId val="3532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79375"/>
        <c:crosses val="autoZero"/>
        <c:auto val="1"/>
        <c:lblAlgn val="ctr"/>
        <c:lblOffset val="100"/>
        <c:noMultiLvlLbl val="0"/>
      </c:catAx>
      <c:valAx>
        <c:axId val="374793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53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Note that we are only confident in </a:t>
            </a:r>
          </a:p>
          <a:p>
            <a:pPr>
              <a:defRPr/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the</a:t>
            </a:r>
            <a:r>
              <a:rPr lang="en-GB" baseline="0">
                <a:solidFill>
                  <a:schemeClr val="accent4">
                    <a:lumMod val="75000"/>
                  </a:schemeClr>
                </a:solidFill>
              </a:rPr>
              <a:t> </a:t>
            </a: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numbers with stars.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48523007877035E-2"/>
          <c:y val="5.9779227046689642E-2"/>
          <c:w val="0.75130389439440637"/>
          <c:h val="0.93858179787828033"/>
        </c:manualLayout>
      </c:layout>
      <c:lineChart>
        <c:grouping val="standard"/>
        <c:varyColors val="0"/>
        <c:ser>
          <c:idx val="8"/>
          <c:order val="7"/>
          <c:tx>
            <c:strRef>
              <c:f>Report!$AG$14</c:f>
              <c:strCache>
                <c:ptCount val="1"/>
                <c:pt idx="0">
                  <c:v>Learn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89-44FE-AD2A-B464F37840D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Report!$AH$14:$AI$14</c:f>
              <c:numCache>
                <c:formatCode>0%</c:formatCode>
                <c:ptCount val="2"/>
                <c:pt idx="0">
                  <c:v>0</c:v>
                </c:pt>
                <c:pt idx="1">
                  <c:v>0.57276993510279373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89-44FE-AD2A-B464F37840DD}"/>
            </c:ext>
          </c:extLst>
        </c:ser>
        <c:ser>
          <c:idx val="9"/>
          <c:order val="8"/>
          <c:tx>
            <c:strRef>
              <c:f>Report!$AG$15</c:f>
              <c:strCache>
                <c:ptCount val="1"/>
                <c:pt idx="0">
                  <c:v>Social_1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Report!$AH$15:$AI$15</c:f>
              <c:numCache>
                <c:formatCode>0%</c:formatCode>
                <c:ptCount val="2"/>
                <c:pt idx="0">
                  <c:v>0</c:v>
                </c:pt>
                <c:pt idx="1">
                  <c:v>2.2980864513924484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D89-44FE-AD2A-B464F37840DD}"/>
            </c:ext>
          </c:extLst>
        </c:ser>
        <c:ser>
          <c:idx val="10"/>
          <c:order val="9"/>
          <c:tx>
            <c:strRef>
              <c:f>Report!$AG$16</c:f>
              <c:strCache>
                <c:ptCount val="1"/>
                <c:pt idx="0">
                  <c:v>Social_2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Report!$AH$16:$AI$16</c:f>
              <c:numCache>
                <c:formatCode>0%</c:formatCode>
                <c:ptCount val="2"/>
                <c:pt idx="0">
                  <c:v>0</c:v>
                </c:pt>
                <c:pt idx="1">
                  <c:v>3.0012246126071913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89-44FE-AD2A-B464F37840DD}"/>
            </c:ext>
          </c:extLst>
        </c:ser>
        <c:ser>
          <c:idx val="11"/>
          <c:order val="10"/>
          <c:tx>
            <c:strRef>
              <c:f>Report!$AG$17</c:f>
              <c:strCache>
                <c:ptCount val="1"/>
                <c:pt idx="0">
                  <c:v>Social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Report!$AH$17:$AI$17</c:f>
              <c:numCache>
                <c:formatCode>0%</c:formatCode>
                <c:ptCount val="2"/>
                <c:pt idx="0">
                  <c:v>0</c:v>
                </c:pt>
                <c:pt idx="1">
                  <c:v>2.4373074219261981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D89-44FE-AD2A-B464F37840DD}"/>
            </c:ext>
          </c:extLst>
        </c:ser>
        <c:ser>
          <c:idx val="12"/>
          <c:order val="11"/>
          <c:tx>
            <c:strRef>
              <c:f>Report!$AG$18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Report!$AH$18:$AI$18</c:f>
              <c:numCache>
                <c:formatCode>0%</c:formatCode>
                <c:ptCount val="2"/>
                <c:pt idx="0">
                  <c:v>0</c:v>
                </c:pt>
                <c:pt idx="1">
                  <c:v>1.721364058411412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D89-44FE-AD2A-B464F378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28095"/>
        <c:axId val="37479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Report!$AG$5</c15:sqref>
                        </c15:formulaRef>
                      </c:ext>
                    </c:extLst>
                    <c:strCache>
                      <c:ptCount val="1"/>
                      <c:pt idx="0">
                        <c:v>Checkins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Report!$AH$5:$AI$5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0.71676330369797681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D89-44FE-AD2A-B464F37840DD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Report!$AG$7</c15:sqref>
                        </c15:formulaRef>
                      </c:ext>
                    </c:extLst>
                    <c:strCache>
                      <c:ptCount val="1"/>
                      <c:pt idx="0">
                        <c:v>Lessons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Report!$AH$7:$AI$7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0.57970687711386693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89-44FE-AD2A-B464F37840DD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Report!$AG$8</c15:sqref>
                        </c15:formulaRef>
                      </c:ext>
                    </c:extLst>
                    <c:strCache>
                      <c:ptCount val="1"/>
                      <c:pt idx="0">
                        <c:v>UserLesson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Report!$AH$8:$AI$8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0.5481822525300788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89-44FE-AD2A-B464F37840DD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Report!$AG$9</c15:sqref>
                        </c15:formulaRef>
                      </c:ext>
                    </c:extLst>
                    <c:strCache>
                      <c:ptCount val="1"/>
                      <c:pt idx="0">
                        <c:v>Post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Report!$AH$9:$AI$9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1.6597453822108554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89-44FE-AD2A-B464F37840DD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Report!$AG$10</c15:sqref>
                        </c15:formulaRef>
                      </c:ext>
                    </c:extLst>
                    <c:strCache>
                      <c:ptCount val="1"/>
                      <c:pt idx="0">
                        <c:v>Code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Report!$AH$10:$AI$10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2.6209884030088841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89-44FE-AD2A-B464F37840D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Report!$AG$11</c15:sqref>
                        </c15:formulaRef>
                      </c:ext>
                    </c:extLst>
                    <c:strCache>
                      <c:ptCount val="1"/>
                      <c:pt idx="0">
                        <c:v>Q&amp;A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Report!$AH$11:$AI$11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5.1681217943090756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D89-44FE-AD2A-B464F37840D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Report!$AG$12</c15:sqref>
                        </c15:formulaRef>
                      </c:ext>
                    </c:extLst>
                    <c:strCache>
                      <c:ptCount val="1"/>
                      <c:pt idx="0">
                        <c:v>Contest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Report!$AH$2:$AI$2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Report!$AH$12:$AI$12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2.625542848506222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D89-44FE-AD2A-B464F37840DD}"/>
                  </c:ext>
                </c:extLst>
              </c15:ser>
            </c15:filteredLineSeries>
          </c:ext>
        </c:extLst>
      </c:lineChart>
      <c:catAx>
        <c:axId val="3532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79375"/>
        <c:crosses val="autoZero"/>
        <c:auto val="1"/>
        <c:lblAlgn val="ctr"/>
        <c:lblOffset val="100"/>
        <c:noMultiLvlLbl val="0"/>
      </c:catAx>
      <c:valAx>
        <c:axId val="374793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53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198576</xdr:colOff>
      <xdr:row>1</xdr:row>
      <xdr:rowOff>795</xdr:rowOff>
    </xdr:from>
    <xdr:to>
      <xdr:col>13</xdr:col>
      <xdr:colOff>435429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DA37A-DD91-45A1-9090-5637BF088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21</xdr:col>
      <xdr:colOff>236853</xdr:colOff>
      <xdr:row>27</xdr:row>
      <xdr:rowOff>189705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EA4094-9DF1-4A24-B89E-4FA819B5A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0"/>
  <sheetViews>
    <sheetView tabSelected="1" topLeftCell="A7" zoomScale="80" zoomScaleNormal="80" workbookViewId="0">
      <selection activeCell="N36" sqref="N36"/>
    </sheetView>
  </sheetViews>
  <sheetFormatPr defaultRowHeight="14.4" x14ac:dyDescent="0.3"/>
  <cols>
    <col min="1" max="1" width="2.77734375" customWidth="1"/>
    <col min="2" max="2" width="19" customWidth="1"/>
    <col min="3" max="3" width="17" bestFit="1" customWidth="1"/>
    <col min="4" max="4" width="15.33203125" customWidth="1"/>
    <col min="5" max="5" width="8" bestFit="1" customWidth="1"/>
    <col min="6" max="6" width="6.5546875" bestFit="1" customWidth="1"/>
    <col min="33" max="33" width="10.44140625" bestFit="1" customWidth="1"/>
    <col min="34" max="34" width="10.5546875" bestFit="1" customWidth="1"/>
    <col min="35" max="35" width="14.44140625" bestFit="1" customWidth="1"/>
  </cols>
  <sheetData>
    <row r="1" spans="1:37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41.4" customHeight="1" x14ac:dyDescent="0.3">
      <c r="A2" s="10"/>
      <c r="B2" s="10"/>
      <c r="C2" s="45" t="s">
        <v>5</v>
      </c>
      <c r="D2" s="45" t="s">
        <v>6</v>
      </c>
      <c r="E2" s="46" t="s">
        <v>11</v>
      </c>
      <c r="F2" s="46" t="s">
        <v>20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1" t="s">
        <v>5</v>
      </c>
      <c r="AI2" s="11" t="s">
        <v>6</v>
      </c>
      <c r="AJ2" s="10"/>
      <c r="AK2" s="10"/>
    </row>
    <row r="3" spans="1:37" x14ac:dyDescent="0.3">
      <c r="A3" s="10"/>
      <c r="B3" s="1" t="s">
        <v>1</v>
      </c>
      <c r="C3" s="2">
        <f>Input!B6</f>
        <v>1302</v>
      </c>
      <c r="D3" s="2">
        <f>Input!H6</f>
        <v>1380</v>
      </c>
      <c r="E3" s="3"/>
      <c r="F3" s="3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" t="s">
        <v>1</v>
      </c>
      <c r="AH3" s="2">
        <f>C3</f>
        <v>1302</v>
      </c>
      <c r="AI3" s="2">
        <f>D3</f>
        <v>1380</v>
      </c>
      <c r="AJ3" s="10"/>
      <c r="AK3" s="10"/>
    </row>
    <row r="4" spans="1:37" ht="24.6" customHeight="1" x14ac:dyDescent="0.3">
      <c r="A4" s="10"/>
      <c r="B4" s="47" t="s">
        <v>0</v>
      </c>
      <c r="C4" s="2"/>
      <c r="D4" s="2"/>
      <c r="E4" s="3"/>
      <c r="F4" s="3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6" t="s">
        <v>0</v>
      </c>
      <c r="AH4" s="2"/>
      <c r="AI4" s="2"/>
      <c r="AJ4" s="10"/>
      <c r="AK4" s="10"/>
    </row>
    <row r="5" spans="1:37" x14ac:dyDescent="0.3">
      <c r="A5" s="10"/>
      <c r="B5" s="9" t="s">
        <v>2</v>
      </c>
      <c r="C5" s="5">
        <f>Input!B8</f>
        <v>5.9608294930875578</v>
      </c>
      <c r="D5" s="5">
        <f>Input!H8</f>
        <v>10.233333333333333</v>
      </c>
      <c r="E5" s="43">
        <f>D5/C5-1</f>
        <v>0.71676330369797681</v>
      </c>
      <c r="F5" s="31" t="str">
        <f>Input!P8</f>
        <v>***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9" t="str">
        <f>B5</f>
        <v>Checkins</v>
      </c>
      <c r="AH5" s="39">
        <f>C5/$C5-1</f>
        <v>0</v>
      </c>
      <c r="AI5" s="39">
        <f>D5/$C5-1</f>
        <v>0.71676330369797681</v>
      </c>
      <c r="AJ5" s="10"/>
      <c r="AK5" s="10"/>
    </row>
    <row r="6" spans="1:37" ht="8.4" customHeight="1" x14ac:dyDescent="0.3">
      <c r="A6" s="10"/>
      <c r="B6" s="7"/>
      <c r="C6" s="8"/>
      <c r="D6" s="8"/>
      <c r="E6" s="44"/>
      <c r="F6" s="3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7"/>
      <c r="AH6" s="42"/>
      <c r="AI6" s="8"/>
      <c r="AJ6" s="10"/>
      <c r="AK6" s="10"/>
    </row>
    <row r="7" spans="1:37" x14ac:dyDescent="0.3">
      <c r="A7" s="10"/>
      <c r="B7" s="4" t="s">
        <v>23</v>
      </c>
      <c r="C7" s="5">
        <f>Input!B10</f>
        <v>19.0752688172043</v>
      </c>
      <c r="D7" s="5">
        <f>Input!H10</f>
        <v>30.133333333333333</v>
      </c>
      <c r="E7" s="43">
        <f t="shared" ref="E7:E12" si="0">D7/C7-1</f>
        <v>0.57970687711386693</v>
      </c>
      <c r="F7" s="31" t="str">
        <f>Input!P10</f>
        <v>***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4" t="str">
        <f t="shared" ref="AG7:AG12" si="1">B7</f>
        <v>Lessons</v>
      </c>
      <c r="AH7" s="39">
        <f t="shared" ref="AH7:AH12" si="2">C7/$C7-1</f>
        <v>0</v>
      </c>
      <c r="AI7" s="39">
        <f t="shared" ref="AI7:AI12" si="3">D7/$C7-1</f>
        <v>0.57970687711386693</v>
      </c>
      <c r="AJ7" s="10"/>
      <c r="AK7" s="10"/>
    </row>
    <row r="8" spans="1:37" x14ac:dyDescent="0.3">
      <c r="A8" s="10"/>
      <c r="B8" s="4" t="s">
        <v>27</v>
      </c>
      <c r="C8" s="5">
        <f>Input!B11</f>
        <v>5.381720430107527</v>
      </c>
      <c r="D8" s="5">
        <f>Input!H11</f>
        <v>8.3318840579710152</v>
      </c>
      <c r="E8" s="43">
        <f t="shared" si="0"/>
        <v>0.5481822525300788</v>
      </c>
      <c r="F8" s="31" t="str">
        <f>Input!P11</f>
        <v>**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4" t="str">
        <f t="shared" si="1"/>
        <v>UserLesson</v>
      </c>
      <c r="AH8" s="39">
        <f t="shared" si="2"/>
        <v>0</v>
      </c>
      <c r="AI8" s="39">
        <f t="shared" si="3"/>
        <v>0.5481822525300788</v>
      </c>
      <c r="AJ8" s="10"/>
      <c r="AK8" s="10"/>
    </row>
    <row r="9" spans="1:37" x14ac:dyDescent="0.3">
      <c r="A9" s="10"/>
      <c r="B9" s="4" t="s">
        <v>26</v>
      </c>
      <c r="C9" s="5">
        <f>Input!B12</f>
        <v>17.626728110599078</v>
      </c>
      <c r="D9" s="5">
        <f>Input!H12</f>
        <v>46.882608695652173</v>
      </c>
      <c r="E9" s="43">
        <f t="shared" si="0"/>
        <v>1.6597453822108554</v>
      </c>
      <c r="F9" s="31" t="str">
        <f>Input!P12</f>
        <v>***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4" t="str">
        <f t="shared" si="1"/>
        <v>Post</v>
      </c>
      <c r="AH9" s="39">
        <f t="shared" si="2"/>
        <v>0</v>
      </c>
      <c r="AI9" s="39">
        <f t="shared" si="3"/>
        <v>1.6597453822108554</v>
      </c>
      <c r="AJ9" s="10"/>
      <c r="AK9" s="10"/>
    </row>
    <row r="10" spans="1:37" x14ac:dyDescent="0.3">
      <c r="A10" s="10"/>
      <c r="B10" s="4" t="s">
        <v>25</v>
      </c>
      <c r="C10" s="5">
        <f>Input!B13</f>
        <v>11.178187403993856</v>
      </c>
      <c r="D10" s="5">
        <f>Input!H13</f>
        <v>40.47608695652174</v>
      </c>
      <c r="E10" s="43">
        <f t="shared" si="0"/>
        <v>2.6209884030088841</v>
      </c>
      <c r="F10" s="31" t="str">
        <f>Input!P13</f>
        <v>***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40" t="str">
        <f t="shared" si="1"/>
        <v>Code</v>
      </c>
      <c r="AH10" s="39">
        <f t="shared" si="2"/>
        <v>0</v>
      </c>
      <c r="AI10" s="39">
        <f t="shared" si="3"/>
        <v>2.6209884030088841</v>
      </c>
      <c r="AJ10" s="10"/>
      <c r="AK10" s="10"/>
    </row>
    <row r="11" spans="1:37" x14ac:dyDescent="0.3">
      <c r="A11" s="10"/>
      <c r="B11" s="4" t="s">
        <v>24</v>
      </c>
      <c r="C11" s="5">
        <f>Input!B14</f>
        <v>2.6628264208909371</v>
      </c>
      <c r="D11" s="5">
        <f>Input!H14</f>
        <v>16.424637681159421</v>
      </c>
      <c r="E11" s="43">
        <f t="shared" si="0"/>
        <v>5.1681217943090756</v>
      </c>
      <c r="F11" s="31" t="str">
        <f>Input!P14</f>
        <v>***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40" t="str">
        <f t="shared" si="1"/>
        <v>Q&amp;A</v>
      </c>
      <c r="AH11" s="39">
        <f t="shared" si="2"/>
        <v>0</v>
      </c>
      <c r="AI11" s="39">
        <f t="shared" si="3"/>
        <v>5.1681217943090756</v>
      </c>
      <c r="AJ11" s="10"/>
      <c r="AK11" s="10"/>
    </row>
    <row r="12" spans="1:37" x14ac:dyDescent="0.3">
      <c r="A12" s="10"/>
      <c r="B12" s="4" t="s">
        <v>3</v>
      </c>
      <c r="C12" s="5">
        <f>Input!B15</f>
        <v>4.639784946236559</v>
      </c>
      <c r="D12" s="5">
        <f>Input!H15</f>
        <v>16.821739130434782</v>
      </c>
      <c r="E12" s="43">
        <f t="shared" si="0"/>
        <v>2.625542848506222</v>
      </c>
      <c r="F12" s="31" t="str">
        <f>Input!P15</f>
        <v>*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40" t="str">
        <f t="shared" si="1"/>
        <v>Contest</v>
      </c>
      <c r="AH12" s="39">
        <f t="shared" si="2"/>
        <v>0</v>
      </c>
      <c r="AI12" s="39">
        <f t="shared" si="3"/>
        <v>2.625542848506222</v>
      </c>
      <c r="AJ12" s="10"/>
      <c r="AK12" s="10"/>
    </row>
    <row r="13" spans="1:37" ht="8.4" customHeight="1" x14ac:dyDescent="0.3">
      <c r="A13" s="10"/>
      <c r="B13" s="7"/>
      <c r="C13" s="8"/>
      <c r="D13" s="8"/>
      <c r="E13" s="44"/>
      <c r="F13" s="3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7"/>
      <c r="AH13" s="42"/>
      <c r="AI13" s="8"/>
      <c r="AJ13" s="10"/>
      <c r="AK13" s="10"/>
    </row>
    <row r="14" spans="1:37" x14ac:dyDescent="0.3">
      <c r="A14" s="10"/>
      <c r="B14" s="9" t="str">
        <f>Input!A17</f>
        <v>Learn (L+UL)</v>
      </c>
      <c r="C14" s="5">
        <f>Input!B17</f>
        <v>24.456989247311828</v>
      </c>
      <c r="D14" s="5">
        <f>Input!H17</f>
        <v>38.46521739130435</v>
      </c>
      <c r="E14" s="43">
        <f t="shared" ref="E14:E18" si="4">D14/C14-1</f>
        <v>0.57276993510279373</v>
      </c>
      <c r="F14" s="31" t="str">
        <f>Input!P17</f>
        <v>***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41" t="s">
        <v>7</v>
      </c>
      <c r="AH14" s="39">
        <f t="shared" ref="AH14:AH18" si="5">C14/$C14-1</f>
        <v>0</v>
      </c>
      <c r="AI14" s="39">
        <f t="shared" ref="AI14:AI18" si="6">D14/$C14-1</f>
        <v>0.57276993510279373</v>
      </c>
      <c r="AJ14" s="10"/>
      <c r="AK14" s="10"/>
    </row>
    <row r="15" spans="1:37" x14ac:dyDescent="0.3">
      <c r="A15" s="10"/>
      <c r="B15" s="9" t="str">
        <f>Input!A18</f>
        <v>Social_1 (UC, UP, DP)</v>
      </c>
      <c r="C15" s="5">
        <f>Input!B18</f>
        <v>31.467741935483872</v>
      </c>
      <c r="D15" s="5">
        <f>Input!H18</f>
        <v>103.78333333333333</v>
      </c>
      <c r="E15" s="43">
        <f t="shared" si="4"/>
        <v>2.2980864513924484</v>
      </c>
      <c r="F15" s="31" t="str">
        <f>Input!P18</f>
        <v>***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9" t="s">
        <v>8</v>
      </c>
      <c r="AH15" s="39">
        <f t="shared" si="5"/>
        <v>0</v>
      </c>
      <c r="AI15" s="39">
        <f t="shared" si="6"/>
        <v>2.2980864513924484</v>
      </c>
      <c r="AJ15" s="10"/>
      <c r="AK15" s="10"/>
    </row>
    <row r="16" spans="1:37" x14ac:dyDescent="0.3">
      <c r="A16" s="10"/>
      <c r="B16" s="9" t="str">
        <f>Input!A19</f>
        <v>Social_2 (P, OP, CP)</v>
      </c>
      <c r="C16" s="5">
        <f>Input!B19</f>
        <v>7.768817204301075</v>
      </c>
      <c r="D16" s="5">
        <f>Input!H19</f>
        <v>31.084782608695651</v>
      </c>
      <c r="E16" s="43">
        <f t="shared" si="4"/>
        <v>3.0012246126071913</v>
      </c>
      <c r="F16" s="31" t="str">
        <f>Input!P19</f>
        <v>***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41" t="s">
        <v>9</v>
      </c>
      <c r="AH16" s="39">
        <f t="shared" si="5"/>
        <v>0</v>
      </c>
      <c r="AI16" s="39">
        <f t="shared" si="6"/>
        <v>3.0012246126071913</v>
      </c>
      <c r="AJ16" s="10"/>
      <c r="AK16" s="10"/>
    </row>
    <row r="17" spans="1:37" x14ac:dyDescent="0.3">
      <c r="A17" s="10"/>
      <c r="B17" s="9" t="s">
        <v>4</v>
      </c>
      <c r="C17" s="5">
        <f>Input!B20</f>
        <v>39.236559139784944</v>
      </c>
      <c r="D17" s="5">
        <f>Input!H20</f>
        <v>134.86811594202899</v>
      </c>
      <c r="E17" s="43">
        <f t="shared" si="4"/>
        <v>2.4373074219261981</v>
      </c>
      <c r="F17" s="31" t="str">
        <f>Input!P20</f>
        <v>***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41" t="s">
        <v>4</v>
      </c>
      <c r="AH17" s="39">
        <f t="shared" si="5"/>
        <v>0</v>
      </c>
      <c r="AI17" s="39">
        <f t="shared" si="6"/>
        <v>2.4373074219261981</v>
      </c>
      <c r="AJ17" s="10"/>
      <c r="AK17" s="10"/>
    </row>
    <row r="18" spans="1:37" x14ac:dyDescent="0.3">
      <c r="A18" s="10"/>
      <c r="B18" s="9" t="s">
        <v>10</v>
      </c>
      <c r="C18" s="5">
        <f>Input!B21</f>
        <v>63.693548387096776</v>
      </c>
      <c r="D18" s="5">
        <f>Input!H21</f>
        <v>173.33333333333334</v>
      </c>
      <c r="E18" s="43">
        <f t="shared" si="4"/>
        <v>1.721364058411412</v>
      </c>
      <c r="F18" s="31" t="str">
        <f>Input!P21</f>
        <v>***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9" t="s">
        <v>10</v>
      </c>
      <c r="AH18" s="39">
        <f t="shared" si="5"/>
        <v>0</v>
      </c>
      <c r="AI18" s="39">
        <f t="shared" si="6"/>
        <v>1.721364058411412</v>
      </c>
      <c r="AJ18" s="10"/>
      <c r="AK18" s="10"/>
    </row>
    <row r="19" spans="1:37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ht="15" thickBo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ht="14.4" customHeight="1" x14ac:dyDescent="0.3">
      <c r="A21" s="10"/>
      <c r="B21" s="48" t="s">
        <v>22</v>
      </c>
      <c r="C21" s="49"/>
      <c r="D21" s="49"/>
      <c r="E21" s="49"/>
      <c r="F21" s="5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x14ac:dyDescent="0.3">
      <c r="A22" s="10"/>
      <c r="B22" s="51"/>
      <c r="C22" s="52"/>
      <c r="D22" s="52"/>
      <c r="E22" s="52"/>
      <c r="F22" s="5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3">
      <c r="A23" s="10"/>
      <c r="B23" s="51"/>
      <c r="C23" s="52"/>
      <c r="D23" s="52"/>
      <c r="E23" s="52"/>
      <c r="F23" s="5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x14ac:dyDescent="0.3">
      <c r="A24" s="10"/>
      <c r="B24" s="51"/>
      <c r="C24" s="52"/>
      <c r="D24" s="52"/>
      <c r="E24" s="52"/>
      <c r="F24" s="5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x14ac:dyDescent="0.3">
      <c r="A25" s="10"/>
      <c r="B25" s="51"/>
      <c r="C25" s="52"/>
      <c r="D25" s="52"/>
      <c r="E25" s="52"/>
      <c r="F25" s="5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x14ac:dyDescent="0.3">
      <c r="A26" s="10"/>
      <c r="B26" s="51"/>
      <c r="C26" s="52"/>
      <c r="D26" s="52"/>
      <c r="E26" s="52"/>
      <c r="F26" s="5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x14ac:dyDescent="0.3">
      <c r="A27" s="10"/>
      <c r="B27" s="51"/>
      <c r="C27" s="52"/>
      <c r="D27" s="52"/>
      <c r="E27" s="52"/>
      <c r="F27" s="5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15" thickBot="1" x14ac:dyDescent="0.35">
      <c r="A28" s="10"/>
      <c r="B28" s="54"/>
      <c r="C28" s="55"/>
      <c r="D28" s="55"/>
      <c r="E28" s="55"/>
      <c r="F28" s="56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1:37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spans="1:37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37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spans="1:37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spans="1:37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</sheetData>
  <mergeCells count="1">
    <mergeCell ref="B21:F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012A-0C43-4766-8A8F-C3093211AEFF}">
  <dimension ref="A1:AH77"/>
  <sheetViews>
    <sheetView workbookViewId="0">
      <selection activeCell="R8" sqref="R8"/>
    </sheetView>
  </sheetViews>
  <sheetFormatPr defaultRowHeight="14.4" x14ac:dyDescent="0.3"/>
  <cols>
    <col min="1" max="1" width="19.109375" style="13" bestFit="1" customWidth="1"/>
    <col min="2" max="2" width="17.88671875" customWidth="1"/>
    <col min="7" max="7" width="2.5546875" style="12" customWidth="1"/>
    <col min="8" max="8" width="17.88671875" customWidth="1"/>
    <col min="13" max="13" width="2.5546875" style="12" customWidth="1"/>
    <col min="14" max="14" width="17.88671875" customWidth="1"/>
    <col min="16" max="16" width="7.6640625" bestFit="1" customWidth="1"/>
    <col min="18" max="18" width="11.21875" style="29" customWidth="1"/>
  </cols>
  <sheetData>
    <row r="1" spans="1:34" ht="14.4" customHeight="1" x14ac:dyDescent="0.3">
      <c r="B1" s="57" t="s">
        <v>5</v>
      </c>
      <c r="C1" s="58"/>
      <c r="D1" s="58"/>
      <c r="E1" s="58"/>
      <c r="F1" s="59"/>
      <c r="H1" s="57" t="s">
        <v>6</v>
      </c>
      <c r="I1" s="58"/>
      <c r="J1" s="58"/>
      <c r="K1" s="58"/>
      <c r="L1" s="59"/>
      <c r="N1" s="57" t="s">
        <v>13</v>
      </c>
      <c r="O1" s="58"/>
      <c r="P1" s="58"/>
      <c r="Q1" s="58"/>
      <c r="R1" s="59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4.4" customHeight="1" x14ac:dyDescent="0.3">
      <c r="B2" s="60"/>
      <c r="C2" s="61"/>
      <c r="D2" s="61"/>
      <c r="E2" s="61"/>
      <c r="F2" s="62"/>
      <c r="H2" s="60"/>
      <c r="I2" s="61"/>
      <c r="J2" s="61"/>
      <c r="K2" s="61"/>
      <c r="L2" s="62"/>
      <c r="N2" s="60"/>
      <c r="O2" s="61"/>
      <c r="P2" s="61"/>
      <c r="Q2" s="61"/>
      <c r="R2" s="6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ht="15" customHeight="1" thickBot="1" x14ac:dyDescent="0.35">
      <c r="B3" s="60"/>
      <c r="C3" s="63"/>
      <c r="D3" s="63"/>
      <c r="E3" s="63"/>
      <c r="F3" s="64"/>
      <c r="H3" s="60"/>
      <c r="I3" s="63"/>
      <c r="J3" s="63"/>
      <c r="K3" s="63"/>
      <c r="L3" s="64"/>
      <c r="N3" s="60"/>
      <c r="O3" s="61"/>
      <c r="P3" s="61"/>
      <c r="Q3" s="61"/>
      <c r="R3" s="62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ht="32.4" customHeight="1" x14ac:dyDescent="0.3">
      <c r="B4" s="22" t="s">
        <v>21</v>
      </c>
      <c r="C4" s="16"/>
      <c r="D4" s="16"/>
      <c r="E4" s="16"/>
      <c r="F4" s="17"/>
      <c r="G4" s="18"/>
      <c r="H4" s="22" t="s">
        <v>21</v>
      </c>
      <c r="I4" s="16"/>
      <c r="J4" s="16"/>
      <c r="K4" s="16"/>
      <c r="L4" s="17"/>
      <c r="M4" s="18"/>
      <c r="N4" s="33" t="s">
        <v>14</v>
      </c>
      <c r="O4" s="25" t="s">
        <v>15</v>
      </c>
      <c r="P4" s="25" t="s">
        <v>17</v>
      </c>
      <c r="Q4" s="25" t="s">
        <v>16</v>
      </c>
      <c r="R4" s="34" t="s">
        <v>18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x14ac:dyDescent="0.3">
      <c r="A5" s="14"/>
      <c r="B5" s="5"/>
      <c r="C5" s="16"/>
      <c r="D5" s="16"/>
      <c r="E5" s="16"/>
      <c r="F5" s="17"/>
      <c r="G5" s="18"/>
      <c r="H5" s="5"/>
      <c r="I5" s="16"/>
      <c r="J5" s="16"/>
      <c r="K5" s="16"/>
      <c r="L5" s="17"/>
      <c r="M5" s="18"/>
      <c r="N5" s="35"/>
      <c r="O5" s="5"/>
      <c r="P5" s="5"/>
      <c r="Q5" s="5"/>
      <c r="R5" s="36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x14ac:dyDescent="0.3">
      <c r="A6" s="14" t="s">
        <v>12</v>
      </c>
      <c r="B6" s="26">
        <v>1302</v>
      </c>
      <c r="C6" s="16"/>
      <c r="D6" s="16"/>
      <c r="E6" s="16"/>
      <c r="F6" s="17"/>
      <c r="G6" s="18"/>
      <c r="H6" s="26">
        <v>1380</v>
      </c>
      <c r="I6" s="16"/>
      <c r="J6" s="16"/>
      <c r="K6" s="16"/>
      <c r="L6" s="17"/>
      <c r="M6" s="18"/>
      <c r="N6" s="37" t="s">
        <v>19</v>
      </c>
      <c r="O6" s="23" t="s">
        <v>19</v>
      </c>
      <c r="P6" s="23" t="s">
        <v>19</v>
      </c>
      <c r="Q6" s="23" t="s">
        <v>19</v>
      </c>
      <c r="R6" s="38" t="s">
        <v>19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x14ac:dyDescent="0.3">
      <c r="A7" s="14"/>
      <c r="B7" s="5"/>
      <c r="C7" s="16"/>
      <c r="D7" s="16"/>
      <c r="E7" s="16"/>
      <c r="F7" s="17"/>
      <c r="G7" s="18"/>
      <c r="H7" s="5"/>
      <c r="I7" s="16"/>
      <c r="J7" s="16"/>
      <c r="K7" s="16"/>
      <c r="L7" s="17"/>
      <c r="M7" s="18"/>
      <c r="N7" s="35"/>
      <c r="O7" s="5"/>
      <c r="P7" s="5"/>
      <c r="Q7" s="5"/>
      <c r="R7" s="36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3">
      <c r="A8" s="14" t="s">
        <v>2</v>
      </c>
      <c r="B8" s="5">
        <v>5.9608294930875578</v>
      </c>
      <c r="C8" s="16"/>
      <c r="D8" s="16"/>
      <c r="E8" s="16"/>
      <c r="F8" s="17"/>
      <c r="G8" s="18"/>
      <c r="H8" s="5">
        <v>10.233333333333333</v>
      </c>
      <c r="I8" s="16"/>
      <c r="J8" s="16"/>
      <c r="K8" s="16"/>
      <c r="L8" s="17"/>
      <c r="M8" s="18"/>
      <c r="N8" s="35">
        <f>H8/B8-1</f>
        <v>0.71676330369797681</v>
      </c>
      <c r="O8" s="24">
        <v>0</v>
      </c>
      <c r="P8" s="5" t="str">
        <f>IF(O8&lt;0.0001,"***", IF(O8&lt;0.01,"**", IF(O8&lt;0.05,"*","---")))</f>
        <v>***</v>
      </c>
      <c r="Q8" s="24">
        <v>1</v>
      </c>
      <c r="R8" s="36">
        <v>59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x14ac:dyDescent="0.3">
      <c r="A9" s="14"/>
      <c r="B9" s="5"/>
      <c r="C9" s="16"/>
      <c r="D9" s="16"/>
      <c r="E9" s="16"/>
      <c r="F9" s="17"/>
      <c r="G9" s="18"/>
      <c r="H9" s="5"/>
      <c r="I9" s="16"/>
      <c r="J9" s="16"/>
      <c r="K9" s="16"/>
      <c r="L9" s="17"/>
      <c r="M9" s="18"/>
      <c r="N9" s="35"/>
      <c r="O9" s="24"/>
      <c r="P9" s="5"/>
      <c r="Q9" s="24"/>
      <c r="R9" s="36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x14ac:dyDescent="0.3">
      <c r="A10" s="14" t="s">
        <v>23</v>
      </c>
      <c r="B10" s="5">
        <v>19.0752688172043</v>
      </c>
      <c r="C10" s="16"/>
      <c r="D10" s="16"/>
      <c r="E10" s="16"/>
      <c r="F10" s="17"/>
      <c r="G10" s="18"/>
      <c r="H10" s="5">
        <v>30.133333333333333</v>
      </c>
      <c r="J10" s="16"/>
      <c r="K10" s="16"/>
      <c r="L10" s="17"/>
      <c r="M10" s="18"/>
      <c r="N10" s="35">
        <f t="shared" ref="N10:N15" si="0">H10/B10-1</f>
        <v>0.57970687711386693</v>
      </c>
      <c r="O10" s="24">
        <v>5.9202578395201044E-9</v>
      </c>
      <c r="P10" s="5" t="str">
        <f t="shared" ref="P10:P15" si="1">IF(O10&lt;0.0001,"***", IF(O10&lt;0.01,"**", IF(O10&lt;0.05,"*","---")))</f>
        <v>***</v>
      </c>
      <c r="Q10" s="24">
        <v>0.99994308120544484</v>
      </c>
      <c r="R10" s="36">
        <v>314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x14ac:dyDescent="0.3">
      <c r="A11" s="14" t="s">
        <v>27</v>
      </c>
      <c r="B11" s="5">
        <v>5.381720430107527</v>
      </c>
      <c r="C11" s="16"/>
      <c r="D11" s="16"/>
      <c r="E11" s="16"/>
      <c r="F11" s="17"/>
      <c r="G11" s="18"/>
      <c r="H11" s="5">
        <v>8.3318840579710152</v>
      </c>
      <c r="J11" s="16"/>
      <c r="K11" s="16"/>
      <c r="L11" s="17"/>
      <c r="M11" s="18"/>
      <c r="N11" s="35">
        <f t="shared" si="0"/>
        <v>0.5481822525300788</v>
      </c>
      <c r="O11" s="24">
        <v>1.5186685312573722E-4</v>
      </c>
      <c r="P11" s="5" t="str">
        <f t="shared" si="1"/>
        <v>**</v>
      </c>
      <c r="Q11" s="24">
        <v>0.96622768068722842</v>
      </c>
      <c r="R11" s="36">
        <v>737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x14ac:dyDescent="0.3">
      <c r="A12" s="14" t="s">
        <v>26</v>
      </c>
      <c r="B12" s="5">
        <v>17.626728110599078</v>
      </c>
      <c r="C12" s="16"/>
      <c r="D12" s="16"/>
      <c r="E12" s="16"/>
      <c r="F12" s="17"/>
      <c r="G12" s="18"/>
      <c r="H12" s="5">
        <v>46.882608695652173</v>
      </c>
      <c r="J12" s="16"/>
      <c r="K12" s="16"/>
      <c r="L12" s="17"/>
      <c r="M12" s="18"/>
      <c r="N12" s="35">
        <f t="shared" si="0"/>
        <v>1.6597453822108554</v>
      </c>
      <c r="O12" s="24">
        <v>0</v>
      </c>
      <c r="P12" s="5" t="str">
        <f t="shared" si="1"/>
        <v>***</v>
      </c>
      <c r="Q12" s="24">
        <v>0.99999999999500655</v>
      </c>
      <c r="R12" s="36">
        <v>140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x14ac:dyDescent="0.3">
      <c r="A13" s="14" t="s">
        <v>25</v>
      </c>
      <c r="B13" s="5">
        <v>11.178187403993856</v>
      </c>
      <c r="C13" s="16"/>
      <c r="D13" s="16"/>
      <c r="E13" s="16"/>
      <c r="F13" s="17"/>
      <c r="G13" s="18"/>
      <c r="H13" s="5">
        <v>40.47608695652174</v>
      </c>
      <c r="J13" s="16"/>
      <c r="K13" s="16"/>
      <c r="L13" s="17"/>
      <c r="M13" s="18"/>
      <c r="N13" s="35">
        <f t="shared" si="0"/>
        <v>2.6209884030088841</v>
      </c>
      <c r="O13" s="24">
        <v>4.4408920985006262E-16</v>
      </c>
      <c r="P13" s="5" t="str">
        <f t="shared" si="1"/>
        <v>***</v>
      </c>
      <c r="Q13" s="24">
        <v>0.99999999960876262</v>
      </c>
      <c r="R13" s="36">
        <v>164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x14ac:dyDescent="0.3">
      <c r="A14" s="14" t="s">
        <v>24</v>
      </c>
      <c r="B14" s="5">
        <v>2.6628264208909371</v>
      </c>
      <c r="C14" s="16"/>
      <c r="D14" s="16"/>
      <c r="E14" s="16"/>
      <c r="F14" s="17"/>
      <c r="G14" s="18"/>
      <c r="H14" s="5">
        <v>16.424637681159421</v>
      </c>
      <c r="J14" s="16"/>
      <c r="K14" s="16"/>
      <c r="L14" s="17"/>
      <c r="M14" s="18"/>
      <c r="N14" s="35">
        <f t="shared" si="0"/>
        <v>5.1681217943090756</v>
      </c>
      <c r="O14" s="24">
        <v>3.3405364474603516E-8</v>
      </c>
      <c r="P14" s="5" t="str">
        <f t="shared" si="1"/>
        <v>***</v>
      </c>
      <c r="Q14" s="24">
        <v>0.99981641268233445</v>
      </c>
      <c r="R14" s="36">
        <v>354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3">
      <c r="A15" s="14" t="s">
        <v>3</v>
      </c>
      <c r="B15" s="5">
        <v>4.639784946236559</v>
      </c>
      <c r="C15" s="16"/>
      <c r="D15" s="16"/>
      <c r="E15" s="16"/>
      <c r="F15" s="17"/>
      <c r="G15" s="18"/>
      <c r="H15" s="5">
        <v>16.821739130434782</v>
      </c>
      <c r="J15" s="16"/>
      <c r="K15" s="16"/>
      <c r="L15" s="17"/>
      <c r="M15" s="18"/>
      <c r="N15" s="35">
        <f t="shared" si="0"/>
        <v>2.625542848506222</v>
      </c>
      <c r="O15" s="24">
        <v>1.6034479822066627E-2</v>
      </c>
      <c r="P15" s="5" t="str">
        <f t="shared" si="1"/>
        <v>*</v>
      </c>
      <c r="Q15" s="24">
        <v>0.67298322763974072</v>
      </c>
      <c r="R15" s="36">
        <v>1858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x14ac:dyDescent="0.3">
      <c r="A16" s="14"/>
      <c r="B16" s="5"/>
      <c r="D16" s="16"/>
      <c r="E16" s="16"/>
      <c r="F16" s="17"/>
      <c r="G16" s="18"/>
      <c r="H16" s="5"/>
      <c r="J16" s="16"/>
      <c r="K16" s="16"/>
      <c r="L16" s="17"/>
      <c r="M16" s="18"/>
      <c r="N16" s="35"/>
      <c r="O16" s="24"/>
      <c r="P16" s="5"/>
      <c r="Q16" s="24"/>
      <c r="R16" s="36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x14ac:dyDescent="0.3">
      <c r="A17" s="14" t="s">
        <v>28</v>
      </c>
      <c r="B17" s="5">
        <v>24.456989247311828</v>
      </c>
      <c r="C17" s="16"/>
      <c r="D17" s="16"/>
      <c r="E17" s="16"/>
      <c r="F17" s="17"/>
      <c r="G17" s="18"/>
      <c r="H17" s="5">
        <v>38.46521739130435</v>
      </c>
      <c r="J17" s="16"/>
      <c r="K17" s="16"/>
      <c r="L17" s="17"/>
      <c r="M17" s="18"/>
      <c r="N17" s="35">
        <f t="shared" ref="N17:N21" si="2">H17/B17-1</f>
        <v>0.57276993510279373</v>
      </c>
      <c r="O17" s="24">
        <v>1.0342162681808986E-9</v>
      </c>
      <c r="P17" s="5" t="str">
        <f t="shared" ref="P17:P21" si="3">IF(O17&lt;0.0001,"***", IF(O17&lt;0.01,"**", IF(O17&lt;0.05,"*","---")))</f>
        <v>***</v>
      </c>
      <c r="Q17" s="24">
        <v>0.99998294052979919</v>
      </c>
      <c r="R17" s="36">
        <v>285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x14ac:dyDescent="0.3">
      <c r="A18" s="14" t="s">
        <v>30</v>
      </c>
      <c r="B18" s="5">
        <v>31.467741935483872</v>
      </c>
      <c r="C18" s="16"/>
      <c r="D18" s="16"/>
      <c r="E18" s="16"/>
      <c r="F18" s="17"/>
      <c r="G18" s="18"/>
      <c r="H18" s="5">
        <v>103.78333333333333</v>
      </c>
      <c r="J18" s="16"/>
      <c r="K18" s="16"/>
      <c r="L18" s="17"/>
      <c r="M18" s="18"/>
      <c r="N18" s="35">
        <f t="shared" si="2"/>
        <v>2.2980864513924484</v>
      </c>
      <c r="O18" s="24">
        <v>0</v>
      </c>
      <c r="P18" s="5" t="str">
        <f t="shared" si="3"/>
        <v>***</v>
      </c>
      <c r="Q18" s="24">
        <v>0.99999999999998845</v>
      </c>
      <c r="R18" s="36">
        <v>117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14" t="s">
        <v>29</v>
      </c>
      <c r="B19" s="5">
        <v>7.768817204301075</v>
      </c>
      <c r="C19" s="16"/>
      <c r="D19" s="16"/>
      <c r="E19" s="16"/>
      <c r="F19" s="17"/>
      <c r="G19" s="18"/>
      <c r="H19" s="5">
        <v>31.084782608695651</v>
      </c>
      <c r="J19" s="16"/>
      <c r="K19" s="16"/>
      <c r="L19" s="17"/>
      <c r="M19" s="18"/>
      <c r="N19" s="35">
        <f t="shared" si="2"/>
        <v>3.0012246126071913</v>
      </c>
      <c r="O19" s="24">
        <v>0</v>
      </c>
      <c r="P19" s="5" t="str">
        <f t="shared" si="3"/>
        <v>***</v>
      </c>
      <c r="Q19" s="24">
        <v>0.99999999999999312</v>
      </c>
      <c r="R19" s="36">
        <v>115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4" t="s">
        <v>4</v>
      </c>
      <c r="B20" s="5">
        <v>39.236559139784944</v>
      </c>
      <c r="C20" s="16"/>
      <c r="D20" s="16"/>
      <c r="E20" s="16"/>
      <c r="F20" s="17"/>
      <c r="G20" s="18"/>
      <c r="H20" s="5">
        <v>134.86811594202899</v>
      </c>
      <c r="J20" s="16"/>
      <c r="K20" s="16"/>
      <c r="L20" s="17"/>
      <c r="M20" s="18"/>
      <c r="N20" s="35">
        <f t="shared" si="2"/>
        <v>2.4373074219261981</v>
      </c>
      <c r="O20" s="24">
        <v>0</v>
      </c>
      <c r="P20" s="5" t="str">
        <f t="shared" si="3"/>
        <v>***</v>
      </c>
      <c r="Q20" s="24">
        <v>1</v>
      </c>
      <c r="R20" s="36">
        <v>102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4" t="s">
        <v>10</v>
      </c>
      <c r="B21" s="5">
        <v>63.693548387096776</v>
      </c>
      <c r="C21" s="16"/>
      <c r="D21" s="16"/>
      <c r="E21" s="16"/>
      <c r="F21" s="17"/>
      <c r="G21" s="18"/>
      <c r="H21" s="5">
        <v>173.33333333333334</v>
      </c>
      <c r="J21" s="16"/>
      <c r="K21" s="16"/>
      <c r="L21" s="17"/>
      <c r="M21" s="18"/>
      <c r="N21" s="35">
        <f t="shared" si="2"/>
        <v>1.721364058411412</v>
      </c>
      <c r="O21" s="24">
        <v>0</v>
      </c>
      <c r="P21" s="5" t="str">
        <f t="shared" si="3"/>
        <v>***</v>
      </c>
      <c r="Q21" s="24">
        <v>1</v>
      </c>
      <c r="R21" s="36">
        <v>93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4"/>
      <c r="B22" s="5"/>
      <c r="C22" s="16"/>
      <c r="D22" s="16"/>
      <c r="E22" s="16"/>
      <c r="F22" s="17"/>
      <c r="G22" s="18"/>
      <c r="H22" s="5"/>
      <c r="I22" s="16"/>
      <c r="J22" s="16"/>
      <c r="K22" s="16"/>
      <c r="L22" s="17"/>
      <c r="M22" s="18"/>
      <c r="N22" s="35"/>
      <c r="O22" s="5"/>
      <c r="P22" s="5"/>
      <c r="Q22" s="5"/>
      <c r="R22" s="36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4"/>
      <c r="B23" s="5"/>
      <c r="C23" s="16"/>
      <c r="D23" s="16"/>
      <c r="E23" s="16"/>
      <c r="F23" s="17"/>
      <c r="G23" s="18"/>
      <c r="H23" s="5"/>
      <c r="I23" s="16"/>
      <c r="J23" s="16"/>
      <c r="K23" s="16"/>
      <c r="L23" s="17"/>
      <c r="M23" s="18"/>
      <c r="N23" s="35"/>
      <c r="O23" s="5"/>
      <c r="P23" s="5"/>
      <c r="Q23" s="5"/>
      <c r="R23" s="36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4"/>
      <c r="B24" s="5"/>
      <c r="C24" s="16"/>
      <c r="D24" s="16"/>
      <c r="E24" s="16"/>
      <c r="F24" s="17"/>
      <c r="G24" s="18"/>
      <c r="H24" s="5"/>
      <c r="I24" s="16"/>
      <c r="J24" s="16"/>
      <c r="K24" s="16"/>
      <c r="L24" s="17"/>
      <c r="M24" s="18"/>
      <c r="N24" s="35"/>
      <c r="O24" s="5"/>
      <c r="P24" s="5"/>
      <c r="Q24" s="5"/>
      <c r="R24" s="36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4"/>
      <c r="B25" s="5"/>
      <c r="C25" s="16"/>
      <c r="D25" s="16"/>
      <c r="E25" s="16"/>
      <c r="F25" s="17"/>
      <c r="G25" s="18"/>
      <c r="H25" s="5"/>
      <c r="I25" s="16"/>
      <c r="J25" s="16"/>
      <c r="K25" s="16"/>
      <c r="L25" s="17"/>
      <c r="M25" s="18"/>
      <c r="N25" s="35"/>
      <c r="O25" s="5"/>
      <c r="P25" s="5"/>
      <c r="Q25" s="5"/>
      <c r="R25" s="36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14"/>
      <c r="B26" s="5"/>
      <c r="C26" s="16"/>
      <c r="D26" s="16"/>
      <c r="E26" s="16"/>
      <c r="F26" s="17"/>
      <c r="G26" s="18"/>
      <c r="H26" s="5"/>
      <c r="I26" s="16"/>
      <c r="J26" s="16"/>
      <c r="K26" s="16"/>
      <c r="L26" s="17"/>
      <c r="M26" s="18"/>
      <c r="N26" s="35"/>
      <c r="O26" s="5"/>
      <c r="P26" s="5"/>
      <c r="Q26" s="5"/>
      <c r="R26" s="36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14"/>
      <c r="B27" s="5"/>
      <c r="C27" s="16"/>
      <c r="D27" s="16"/>
      <c r="E27" s="16"/>
      <c r="F27" s="17"/>
      <c r="G27" s="18"/>
      <c r="H27" s="5"/>
      <c r="I27" s="16"/>
      <c r="J27" s="16"/>
      <c r="K27" s="16"/>
      <c r="L27" s="17"/>
      <c r="M27" s="18"/>
      <c r="N27" s="35"/>
      <c r="O27" s="5"/>
      <c r="P27" s="5"/>
      <c r="Q27" s="5"/>
      <c r="R27" s="36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14"/>
      <c r="B28" s="5"/>
      <c r="C28" s="16"/>
      <c r="D28" s="16"/>
      <c r="E28" s="16"/>
      <c r="F28" s="17"/>
      <c r="G28" s="18"/>
      <c r="H28" s="5"/>
      <c r="I28" s="16"/>
      <c r="J28" s="16"/>
      <c r="K28" s="16"/>
      <c r="L28" s="17"/>
      <c r="M28" s="18"/>
      <c r="N28" s="35"/>
      <c r="O28" s="5"/>
      <c r="P28" s="5"/>
      <c r="Q28" s="5"/>
      <c r="R28" s="36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14"/>
      <c r="B29" s="5"/>
      <c r="C29" s="16"/>
      <c r="D29" s="16"/>
      <c r="E29" s="16"/>
      <c r="F29" s="17"/>
      <c r="G29" s="18"/>
      <c r="H29" s="5"/>
      <c r="I29" s="16"/>
      <c r="J29" s="16"/>
      <c r="K29" s="16"/>
      <c r="L29" s="17"/>
      <c r="M29" s="18"/>
      <c r="N29" s="35"/>
      <c r="O29" s="5"/>
      <c r="P29" s="5"/>
      <c r="Q29" s="5"/>
      <c r="R29" s="36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14"/>
      <c r="B30" s="5"/>
      <c r="C30" s="16"/>
      <c r="D30" s="16"/>
      <c r="E30" s="16"/>
      <c r="F30" s="17"/>
      <c r="G30" s="18"/>
      <c r="H30" s="5"/>
      <c r="I30" s="16"/>
      <c r="J30" s="16"/>
      <c r="K30" s="16"/>
      <c r="L30" s="17"/>
      <c r="M30" s="18"/>
      <c r="N30" s="15"/>
      <c r="O30" s="16"/>
      <c r="P30" s="16"/>
      <c r="Q30" s="16"/>
      <c r="R30" s="27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x14ac:dyDescent="0.3">
      <c r="A31" s="14"/>
      <c r="B31" s="5"/>
      <c r="C31" s="16"/>
      <c r="D31" s="16"/>
      <c r="E31" s="16"/>
      <c r="F31" s="17"/>
      <c r="G31" s="18"/>
      <c r="H31" s="5"/>
      <c r="I31" s="16"/>
      <c r="J31" s="16"/>
      <c r="K31" s="16"/>
      <c r="L31" s="17"/>
      <c r="M31" s="18"/>
      <c r="N31" s="15"/>
      <c r="O31" s="16"/>
      <c r="P31" s="16"/>
      <c r="Q31" s="16"/>
      <c r="R31" s="27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x14ac:dyDescent="0.3">
      <c r="A32" s="14"/>
      <c r="B32" s="5"/>
      <c r="C32" s="16"/>
      <c r="D32" s="16"/>
      <c r="E32" s="16"/>
      <c r="F32" s="17"/>
      <c r="G32" s="18"/>
      <c r="H32" s="5"/>
      <c r="I32" s="16"/>
      <c r="J32" s="16"/>
      <c r="K32" s="16"/>
      <c r="L32" s="17"/>
      <c r="M32" s="18"/>
      <c r="N32" s="15"/>
      <c r="O32" s="16"/>
      <c r="P32" s="16"/>
      <c r="Q32" s="16"/>
      <c r="R32" s="27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x14ac:dyDescent="0.3">
      <c r="A33" s="14"/>
      <c r="B33" s="5"/>
      <c r="C33" s="16"/>
      <c r="D33" s="16"/>
      <c r="E33" s="16"/>
      <c r="F33" s="17"/>
      <c r="G33" s="18"/>
      <c r="H33" s="5"/>
      <c r="I33" s="16"/>
      <c r="J33" s="16"/>
      <c r="K33" s="16"/>
      <c r="L33" s="17"/>
      <c r="M33" s="18"/>
      <c r="N33" s="15"/>
      <c r="O33" s="16"/>
      <c r="P33" s="16"/>
      <c r="Q33" s="16"/>
      <c r="R33" s="27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x14ac:dyDescent="0.3">
      <c r="A34" s="14"/>
      <c r="B34" s="5"/>
      <c r="C34" s="16"/>
      <c r="D34" s="16"/>
      <c r="E34" s="16"/>
      <c r="F34" s="17"/>
      <c r="G34" s="18"/>
      <c r="H34" s="5"/>
      <c r="I34" s="16"/>
      <c r="J34" s="16"/>
      <c r="K34" s="16"/>
      <c r="L34" s="17"/>
      <c r="M34" s="18"/>
      <c r="N34" s="15"/>
      <c r="O34" s="16"/>
      <c r="P34" s="16"/>
      <c r="Q34" s="16"/>
      <c r="R34" s="27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x14ac:dyDescent="0.3">
      <c r="A35" s="14"/>
      <c r="B35" s="5"/>
      <c r="C35" s="16"/>
      <c r="D35" s="16"/>
      <c r="E35" s="16"/>
      <c r="F35" s="17"/>
      <c r="G35" s="18"/>
      <c r="H35" s="5"/>
      <c r="I35" s="16"/>
      <c r="J35" s="16"/>
      <c r="K35" s="16"/>
      <c r="L35" s="17"/>
      <c r="M35" s="18"/>
      <c r="N35" s="15"/>
      <c r="O35" s="16"/>
      <c r="P35" s="16"/>
      <c r="Q35" s="16"/>
      <c r="R35" s="27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x14ac:dyDescent="0.3">
      <c r="A36" s="14"/>
      <c r="B36" s="5"/>
      <c r="C36" s="16"/>
      <c r="D36" s="16"/>
      <c r="E36" s="16"/>
      <c r="F36" s="17"/>
      <c r="G36" s="18"/>
      <c r="H36" s="5"/>
      <c r="I36" s="16"/>
      <c r="J36" s="16"/>
      <c r="K36" s="16"/>
      <c r="L36" s="17"/>
      <c r="M36" s="18"/>
      <c r="N36" s="15"/>
      <c r="O36" s="16"/>
      <c r="P36" s="16"/>
      <c r="Q36" s="16"/>
      <c r="R36" s="27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x14ac:dyDescent="0.3">
      <c r="B37" s="5"/>
      <c r="C37" s="16"/>
      <c r="D37" s="16"/>
      <c r="E37" s="16"/>
      <c r="F37" s="17"/>
      <c r="G37" s="18"/>
      <c r="H37" s="5"/>
      <c r="I37" s="16"/>
      <c r="J37" s="16"/>
      <c r="K37" s="16"/>
      <c r="L37" s="17"/>
      <c r="M37" s="18"/>
      <c r="N37" s="15"/>
      <c r="O37" s="16"/>
      <c r="P37" s="16"/>
      <c r="Q37" s="16"/>
      <c r="R37" s="27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x14ac:dyDescent="0.3">
      <c r="B38" s="5"/>
      <c r="C38" s="16"/>
      <c r="D38" s="16"/>
      <c r="E38" s="16"/>
      <c r="F38" s="17"/>
      <c r="G38" s="18"/>
      <c r="H38" s="5"/>
      <c r="I38" s="16"/>
      <c r="J38" s="16"/>
      <c r="K38" s="16"/>
      <c r="L38" s="17"/>
      <c r="M38" s="18"/>
      <c r="N38" s="15"/>
      <c r="O38" s="16"/>
      <c r="P38" s="16"/>
      <c r="Q38" s="16"/>
      <c r="R38" s="27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x14ac:dyDescent="0.3">
      <c r="B39" s="5"/>
      <c r="C39" s="16"/>
      <c r="D39" s="16"/>
      <c r="E39" s="16"/>
      <c r="F39" s="17"/>
      <c r="G39" s="18"/>
      <c r="H39" s="5"/>
      <c r="I39" s="16"/>
      <c r="J39" s="16"/>
      <c r="K39" s="16"/>
      <c r="L39" s="17"/>
      <c r="M39" s="18"/>
      <c r="N39" s="15"/>
      <c r="O39" s="16"/>
      <c r="P39" s="16"/>
      <c r="Q39" s="16"/>
      <c r="R39" s="27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x14ac:dyDescent="0.3">
      <c r="B40" s="5"/>
      <c r="C40" s="16"/>
      <c r="D40" s="16"/>
      <c r="E40" s="16"/>
      <c r="F40" s="17"/>
      <c r="G40" s="18"/>
      <c r="H40" s="5"/>
      <c r="I40" s="16"/>
      <c r="J40" s="16"/>
      <c r="K40" s="16"/>
      <c r="L40" s="17"/>
      <c r="M40" s="18"/>
      <c r="N40" s="15"/>
      <c r="O40" s="16"/>
      <c r="P40" s="16"/>
      <c r="Q40" s="16"/>
      <c r="R40" s="27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x14ac:dyDescent="0.3">
      <c r="B41" s="5"/>
      <c r="C41" s="16"/>
      <c r="D41" s="16"/>
      <c r="E41" s="16"/>
      <c r="F41" s="17"/>
      <c r="G41" s="18"/>
      <c r="H41" s="5"/>
      <c r="I41" s="16"/>
      <c r="J41" s="16"/>
      <c r="K41" s="16"/>
      <c r="L41" s="17"/>
      <c r="M41" s="18"/>
      <c r="N41" s="15"/>
      <c r="O41" s="16"/>
      <c r="P41" s="16"/>
      <c r="Q41" s="16"/>
      <c r="R41" s="27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x14ac:dyDescent="0.3">
      <c r="B42" s="5"/>
      <c r="C42" s="16"/>
      <c r="D42" s="16"/>
      <c r="E42" s="16"/>
      <c r="F42" s="17"/>
      <c r="G42" s="18"/>
      <c r="H42" s="5"/>
      <c r="I42" s="16"/>
      <c r="J42" s="16"/>
      <c r="K42" s="16"/>
      <c r="L42" s="17"/>
      <c r="M42" s="18"/>
      <c r="N42" s="15"/>
      <c r="O42" s="16"/>
      <c r="P42" s="16"/>
      <c r="Q42" s="16"/>
      <c r="R42" s="27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x14ac:dyDescent="0.3">
      <c r="B43" s="5"/>
      <c r="C43" s="16"/>
      <c r="D43" s="16"/>
      <c r="E43" s="16"/>
      <c r="F43" s="17"/>
      <c r="G43" s="18"/>
      <c r="H43" s="5"/>
      <c r="I43" s="16"/>
      <c r="J43" s="16"/>
      <c r="K43" s="16"/>
      <c r="L43" s="17"/>
      <c r="M43" s="18"/>
      <c r="N43" s="15"/>
      <c r="O43" s="16"/>
      <c r="P43" s="16"/>
      <c r="Q43" s="16"/>
      <c r="R43" s="27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x14ac:dyDescent="0.3">
      <c r="B44" s="5"/>
      <c r="C44" s="16"/>
      <c r="D44" s="16"/>
      <c r="E44" s="16"/>
      <c r="F44" s="17"/>
      <c r="G44" s="18"/>
      <c r="H44" s="5"/>
      <c r="I44" s="16"/>
      <c r="J44" s="16"/>
      <c r="K44" s="16"/>
      <c r="L44" s="17"/>
      <c r="M44" s="18"/>
      <c r="N44" s="15"/>
      <c r="O44" s="16"/>
      <c r="P44" s="16"/>
      <c r="Q44" s="16"/>
      <c r="R44" s="27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x14ac:dyDescent="0.3">
      <c r="B45" s="5"/>
      <c r="C45" s="16"/>
      <c r="D45" s="16"/>
      <c r="E45" s="16"/>
      <c r="F45" s="17"/>
      <c r="G45" s="18"/>
      <c r="H45" s="5"/>
      <c r="I45" s="16"/>
      <c r="J45" s="16"/>
      <c r="K45" s="16"/>
      <c r="L45" s="17"/>
      <c r="M45" s="18"/>
      <c r="N45" s="15"/>
      <c r="O45" s="16"/>
      <c r="P45" s="16"/>
      <c r="Q45" s="16"/>
      <c r="R45" s="27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x14ac:dyDescent="0.3">
      <c r="B46" s="5"/>
      <c r="C46" s="16"/>
      <c r="D46" s="16"/>
      <c r="E46" s="16"/>
      <c r="F46" s="17"/>
      <c r="G46" s="18"/>
      <c r="H46" s="5"/>
      <c r="I46" s="16"/>
      <c r="J46" s="16"/>
      <c r="K46" s="16"/>
      <c r="L46" s="17"/>
      <c r="M46" s="18"/>
      <c r="N46" s="15"/>
      <c r="O46" s="16"/>
      <c r="P46" s="16"/>
      <c r="Q46" s="16"/>
      <c r="R46" s="27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x14ac:dyDescent="0.3">
      <c r="B47" s="5"/>
      <c r="C47" s="16"/>
      <c r="D47" s="16"/>
      <c r="E47" s="16"/>
      <c r="F47" s="17"/>
      <c r="G47" s="18"/>
      <c r="H47" s="5"/>
      <c r="I47" s="16"/>
      <c r="J47" s="16"/>
      <c r="K47" s="16"/>
      <c r="L47" s="17"/>
      <c r="M47" s="18"/>
      <c r="N47" s="15"/>
      <c r="O47" s="16"/>
      <c r="P47" s="16"/>
      <c r="Q47" s="16"/>
      <c r="R47" s="27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3">
      <c r="B48" s="5"/>
      <c r="C48" s="16"/>
      <c r="D48" s="16"/>
      <c r="E48" s="16"/>
      <c r="F48" s="17"/>
      <c r="G48" s="18"/>
      <c r="H48" s="5"/>
      <c r="I48" s="16"/>
      <c r="J48" s="16"/>
      <c r="K48" s="16"/>
      <c r="L48" s="17"/>
      <c r="M48" s="18"/>
      <c r="N48" s="15"/>
      <c r="O48" s="16"/>
      <c r="P48" s="16"/>
      <c r="Q48" s="16"/>
      <c r="R48" s="27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2:34" x14ac:dyDescent="0.3">
      <c r="B49" s="5"/>
      <c r="C49" s="16"/>
      <c r="D49" s="16"/>
      <c r="E49" s="16"/>
      <c r="F49" s="17"/>
      <c r="G49" s="18"/>
      <c r="H49" s="5"/>
      <c r="I49" s="16"/>
      <c r="J49" s="16"/>
      <c r="K49" s="16"/>
      <c r="L49" s="17"/>
      <c r="M49" s="18"/>
      <c r="N49" s="15"/>
      <c r="O49" s="16"/>
      <c r="P49" s="16"/>
      <c r="Q49" s="16"/>
      <c r="R49" s="27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2:34" x14ac:dyDescent="0.3">
      <c r="B50" s="5"/>
      <c r="C50" s="16"/>
      <c r="D50" s="16"/>
      <c r="E50" s="16"/>
      <c r="F50" s="17"/>
      <c r="G50" s="18"/>
      <c r="H50" s="5"/>
      <c r="I50" s="16"/>
      <c r="J50" s="16"/>
      <c r="K50" s="16"/>
      <c r="L50" s="17"/>
      <c r="M50" s="18"/>
      <c r="N50" s="15"/>
      <c r="O50" s="16"/>
      <c r="P50" s="16"/>
      <c r="Q50" s="16"/>
      <c r="R50" s="27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2:34" x14ac:dyDescent="0.3">
      <c r="B51" s="5"/>
      <c r="C51" s="16"/>
      <c r="D51" s="16"/>
      <c r="E51" s="16"/>
      <c r="F51" s="17"/>
      <c r="G51" s="18"/>
      <c r="H51" s="5"/>
      <c r="I51" s="16"/>
      <c r="J51" s="16"/>
      <c r="K51" s="16"/>
      <c r="L51" s="17"/>
      <c r="M51" s="18"/>
      <c r="N51" s="15"/>
      <c r="O51" s="16"/>
      <c r="P51" s="16"/>
      <c r="Q51" s="16"/>
      <c r="R51" s="27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2:34" x14ac:dyDescent="0.3">
      <c r="B52" s="5"/>
      <c r="C52" s="16"/>
      <c r="D52" s="16"/>
      <c r="E52" s="16"/>
      <c r="F52" s="17"/>
      <c r="G52" s="18"/>
      <c r="H52" s="5"/>
      <c r="I52" s="16"/>
      <c r="J52" s="16"/>
      <c r="K52" s="16"/>
      <c r="L52" s="17"/>
      <c r="M52" s="18"/>
      <c r="N52" s="15"/>
      <c r="O52" s="16"/>
      <c r="P52" s="16"/>
      <c r="Q52" s="16"/>
      <c r="R52" s="27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2:34" x14ac:dyDescent="0.3">
      <c r="B53" s="5"/>
      <c r="C53" s="16"/>
      <c r="D53" s="16"/>
      <c r="E53" s="16"/>
      <c r="F53" s="17"/>
      <c r="G53" s="18"/>
      <c r="H53" s="5"/>
      <c r="I53" s="16"/>
      <c r="J53" s="16"/>
      <c r="K53" s="16"/>
      <c r="L53" s="17"/>
      <c r="M53" s="18"/>
      <c r="N53" s="15"/>
      <c r="O53" s="16"/>
      <c r="P53" s="16"/>
      <c r="Q53" s="16"/>
      <c r="R53" s="27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2:34" x14ac:dyDescent="0.3">
      <c r="B54" s="5"/>
      <c r="C54" s="16"/>
      <c r="D54" s="16"/>
      <c r="E54" s="16"/>
      <c r="F54" s="17"/>
      <c r="G54" s="18"/>
      <c r="H54" s="5"/>
      <c r="I54" s="16"/>
      <c r="J54" s="16"/>
      <c r="K54" s="16"/>
      <c r="L54" s="17"/>
      <c r="M54" s="18"/>
      <c r="N54" s="15"/>
      <c r="O54" s="16"/>
      <c r="P54" s="16"/>
      <c r="Q54" s="16"/>
      <c r="R54" s="27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2:34" x14ac:dyDescent="0.3">
      <c r="B55" s="5"/>
      <c r="C55" s="16"/>
      <c r="D55" s="16"/>
      <c r="E55" s="16"/>
      <c r="F55" s="17"/>
      <c r="G55" s="18"/>
      <c r="H55" s="5"/>
      <c r="I55" s="16"/>
      <c r="J55" s="16"/>
      <c r="K55" s="16"/>
      <c r="L55" s="17"/>
      <c r="M55" s="18"/>
      <c r="N55" s="15"/>
      <c r="O55" s="16"/>
      <c r="P55" s="16"/>
      <c r="Q55" s="16"/>
      <c r="R55" s="27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2:34" x14ac:dyDescent="0.3">
      <c r="B56" s="5"/>
      <c r="C56" s="16"/>
      <c r="D56" s="16"/>
      <c r="E56" s="16"/>
      <c r="F56" s="17"/>
      <c r="G56" s="18"/>
      <c r="H56" s="5"/>
      <c r="I56" s="16"/>
      <c r="J56" s="16"/>
      <c r="K56" s="16"/>
      <c r="L56" s="17"/>
      <c r="M56" s="18"/>
      <c r="N56" s="15"/>
      <c r="O56" s="16"/>
      <c r="P56" s="16"/>
      <c r="Q56" s="16"/>
      <c r="R56" s="27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2:34" x14ac:dyDescent="0.3">
      <c r="B57" s="5"/>
      <c r="C57" s="16"/>
      <c r="D57" s="16"/>
      <c r="E57" s="16"/>
      <c r="F57" s="17"/>
      <c r="G57" s="18"/>
      <c r="H57" s="5"/>
      <c r="I57" s="16"/>
      <c r="J57" s="16"/>
      <c r="K57" s="16"/>
      <c r="L57" s="17"/>
      <c r="M57" s="18"/>
      <c r="N57" s="15"/>
      <c r="O57" s="16"/>
      <c r="P57" s="16"/>
      <c r="Q57" s="16"/>
      <c r="R57" s="27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2:34" x14ac:dyDescent="0.3">
      <c r="B58" s="5"/>
      <c r="C58" s="16"/>
      <c r="D58" s="16"/>
      <c r="E58" s="16"/>
      <c r="F58" s="17"/>
      <c r="G58" s="18"/>
      <c r="H58" s="5"/>
      <c r="I58" s="16"/>
      <c r="J58" s="16"/>
      <c r="K58" s="16"/>
      <c r="L58" s="17"/>
      <c r="M58" s="18"/>
      <c r="N58" s="15"/>
      <c r="O58" s="16"/>
      <c r="P58" s="16"/>
      <c r="Q58" s="16"/>
      <c r="R58" s="27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2:34" x14ac:dyDescent="0.3">
      <c r="B59" s="5"/>
      <c r="C59" s="16"/>
      <c r="D59" s="16"/>
      <c r="E59" s="16"/>
      <c r="F59" s="17"/>
      <c r="G59" s="18"/>
      <c r="H59" s="5"/>
      <c r="I59" s="16"/>
      <c r="J59" s="16"/>
      <c r="K59" s="16"/>
      <c r="L59" s="17"/>
      <c r="M59" s="18"/>
      <c r="N59" s="15"/>
      <c r="O59" s="16"/>
      <c r="P59" s="16"/>
      <c r="Q59" s="16"/>
      <c r="R59" s="27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2:34" x14ac:dyDescent="0.3">
      <c r="B60" s="5"/>
      <c r="C60" s="16"/>
      <c r="D60" s="16"/>
      <c r="E60" s="16"/>
      <c r="F60" s="17"/>
      <c r="G60" s="18"/>
      <c r="H60" s="5"/>
      <c r="I60" s="16"/>
      <c r="J60" s="16"/>
      <c r="K60" s="16"/>
      <c r="L60" s="17"/>
      <c r="M60" s="18"/>
      <c r="N60" s="15"/>
      <c r="O60" s="16"/>
      <c r="P60" s="16"/>
      <c r="Q60" s="16"/>
      <c r="R60" s="27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2:34" x14ac:dyDescent="0.3">
      <c r="B61" s="5"/>
      <c r="C61" s="16"/>
      <c r="D61" s="16"/>
      <c r="E61" s="16"/>
      <c r="F61" s="17"/>
      <c r="G61" s="18"/>
      <c r="H61" s="5"/>
      <c r="I61" s="16"/>
      <c r="J61" s="16"/>
      <c r="K61" s="16"/>
      <c r="L61" s="17"/>
      <c r="M61" s="18"/>
      <c r="N61" s="15"/>
      <c r="O61" s="16"/>
      <c r="P61" s="16"/>
      <c r="Q61" s="16"/>
      <c r="R61" s="27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2:34" x14ac:dyDescent="0.3">
      <c r="B62" s="5"/>
      <c r="C62" s="16"/>
      <c r="D62" s="16"/>
      <c r="E62" s="16"/>
      <c r="F62" s="17"/>
      <c r="G62" s="18"/>
      <c r="H62" s="5"/>
      <c r="I62" s="16"/>
      <c r="J62" s="16"/>
      <c r="K62" s="16"/>
      <c r="L62" s="17"/>
      <c r="M62" s="18"/>
      <c r="N62" s="15"/>
      <c r="O62" s="16"/>
      <c r="P62" s="16"/>
      <c r="Q62" s="16"/>
      <c r="R62" s="27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2:34" x14ac:dyDescent="0.3">
      <c r="B63" s="5"/>
      <c r="C63" s="16"/>
      <c r="D63" s="16"/>
      <c r="E63" s="16"/>
      <c r="F63" s="17"/>
      <c r="G63" s="18"/>
      <c r="H63" s="5"/>
      <c r="I63" s="16"/>
      <c r="J63" s="16"/>
      <c r="K63" s="16"/>
      <c r="L63" s="17"/>
      <c r="M63" s="18"/>
      <c r="N63" s="15"/>
      <c r="O63" s="16"/>
      <c r="P63" s="16"/>
      <c r="Q63" s="16"/>
      <c r="R63" s="27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2:34" x14ac:dyDescent="0.3">
      <c r="B64" s="5"/>
      <c r="C64" s="16"/>
      <c r="D64" s="16"/>
      <c r="E64" s="16"/>
      <c r="F64" s="17"/>
      <c r="G64" s="18"/>
      <c r="H64" s="5"/>
      <c r="I64" s="16"/>
      <c r="J64" s="16"/>
      <c r="K64" s="16"/>
      <c r="L64" s="17"/>
      <c r="M64" s="18"/>
      <c r="N64" s="15"/>
      <c r="O64" s="16"/>
      <c r="P64" s="16"/>
      <c r="Q64" s="16"/>
      <c r="R64" s="27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2:34" x14ac:dyDescent="0.3">
      <c r="B65" s="5"/>
      <c r="C65" s="16"/>
      <c r="D65" s="16"/>
      <c r="E65" s="16"/>
      <c r="F65" s="17"/>
      <c r="G65" s="18"/>
      <c r="H65" s="5"/>
      <c r="I65" s="16"/>
      <c r="J65" s="16"/>
      <c r="K65" s="16"/>
      <c r="L65" s="17"/>
      <c r="M65" s="18"/>
      <c r="N65" s="15"/>
      <c r="O65" s="16"/>
      <c r="P65" s="16"/>
      <c r="Q65" s="16"/>
      <c r="R65" s="2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2:34" x14ac:dyDescent="0.3">
      <c r="B66" s="5"/>
      <c r="C66" s="16"/>
      <c r="D66" s="16"/>
      <c r="E66" s="16"/>
      <c r="F66" s="17"/>
      <c r="G66" s="18"/>
      <c r="H66" s="5"/>
      <c r="I66" s="16"/>
      <c r="J66" s="16"/>
      <c r="K66" s="16"/>
      <c r="L66" s="17"/>
      <c r="M66" s="18"/>
      <c r="N66" s="15"/>
      <c r="O66" s="16"/>
      <c r="P66" s="16"/>
      <c r="Q66" s="16"/>
      <c r="R66" s="2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2:34" x14ac:dyDescent="0.3">
      <c r="B67" s="5"/>
      <c r="C67" s="16"/>
      <c r="D67" s="16"/>
      <c r="E67" s="16"/>
      <c r="F67" s="17"/>
      <c r="G67" s="18"/>
      <c r="H67" s="5"/>
      <c r="I67" s="16"/>
      <c r="J67" s="16"/>
      <c r="K67" s="16"/>
      <c r="L67" s="17"/>
      <c r="M67" s="18"/>
      <c r="N67" s="15"/>
      <c r="O67" s="16"/>
      <c r="P67" s="16"/>
      <c r="Q67" s="16"/>
      <c r="R67" s="2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2:34" x14ac:dyDescent="0.3">
      <c r="B68" s="5"/>
      <c r="C68" s="16"/>
      <c r="D68" s="16"/>
      <c r="E68" s="16"/>
      <c r="F68" s="17"/>
      <c r="G68" s="18"/>
      <c r="H68" s="5"/>
      <c r="I68" s="16"/>
      <c r="J68" s="16"/>
      <c r="K68" s="16"/>
      <c r="L68" s="17"/>
      <c r="M68" s="18"/>
      <c r="N68" s="15"/>
      <c r="O68" s="16"/>
      <c r="P68" s="16"/>
      <c r="Q68" s="16"/>
      <c r="R68" s="2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2:34" x14ac:dyDescent="0.3">
      <c r="B69" s="5"/>
      <c r="C69" s="16"/>
      <c r="D69" s="16"/>
      <c r="E69" s="16"/>
      <c r="F69" s="17"/>
      <c r="G69" s="18"/>
      <c r="H69" s="5"/>
      <c r="I69" s="16"/>
      <c r="J69" s="16"/>
      <c r="K69" s="16"/>
      <c r="L69" s="17"/>
      <c r="M69" s="18"/>
      <c r="N69" s="15"/>
      <c r="O69" s="16"/>
      <c r="P69" s="16"/>
      <c r="Q69" s="16"/>
      <c r="R69" s="2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2:34" x14ac:dyDescent="0.3">
      <c r="B70" s="5"/>
      <c r="C70" s="16"/>
      <c r="D70" s="16"/>
      <c r="E70" s="16"/>
      <c r="F70" s="17"/>
      <c r="G70" s="18"/>
      <c r="H70" s="5"/>
      <c r="I70" s="16"/>
      <c r="J70" s="16"/>
      <c r="K70" s="16"/>
      <c r="L70" s="17"/>
      <c r="M70" s="18"/>
      <c r="N70" s="15"/>
      <c r="O70" s="16"/>
      <c r="P70" s="16"/>
      <c r="Q70" s="16"/>
      <c r="R70" s="2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2:34" x14ac:dyDescent="0.3">
      <c r="B71" s="5"/>
      <c r="C71" s="16"/>
      <c r="D71" s="16"/>
      <c r="E71" s="16"/>
      <c r="F71" s="17"/>
      <c r="G71" s="18"/>
      <c r="H71" s="5"/>
      <c r="I71" s="16"/>
      <c r="J71" s="16"/>
      <c r="K71" s="16"/>
      <c r="L71" s="17"/>
      <c r="M71" s="18"/>
      <c r="N71" s="15"/>
      <c r="O71" s="16"/>
      <c r="P71" s="16"/>
      <c r="Q71" s="16"/>
      <c r="R71" s="2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2:34" x14ac:dyDescent="0.3">
      <c r="B72" s="5"/>
      <c r="C72" s="16"/>
      <c r="D72" s="16"/>
      <c r="E72" s="16"/>
      <c r="F72" s="17"/>
      <c r="G72" s="18"/>
      <c r="H72" s="5"/>
      <c r="I72" s="16"/>
      <c r="J72" s="16"/>
      <c r="K72" s="16"/>
      <c r="L72" s="17"/>
      <c r="M72" s="18"/>
      <c r="N72" s="15"/>
      <c r="O72" s="16"/>
      <c r="P72" s="16"/>
      <c r="Q72" s="16"/>
      <c r="R72" s="2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2:34" x14ac:dyDescent="0.3">
      <c r="B73" s="5"/>
      <c r="C73" s="16"/>
      <c r="D73" s="16"/>
      <c r="E73" s="16"/>
      <c r="F73" s="17"/>
      <c r="G73" s="18"/>
      <c r="H73" s="5"/>
      <c r="I73" s="16"/>
      <c r="J73" s="16"/>
      <c r="K73" s="16"/>
      <c r="L73" s="17"/>
      <c r="M73" s="18"/>
      <c r="N73" s="15"/>
      <c r="O73" s="16"/>
      <c r="P73" s="16"/>
      <c r="Q73" s="16"/>
      <c r="R73" s="2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2:34" x14ac:dyDescent="0.3">
      <c r="B74" s="5"/>
      <c r="C74" s="16"/>
      <c r="D74" s="16"/>
      <c r="E74" s="16"/>
      <c r="F74" s="17"/>
      <c r="G74" s="18"/>
      <c r="H74" s="5"/>
      <c r="I74" s="16"/>
      <c r="J74" s="16"/>
      <c r="K74" s="16"/>
      <c r="L74" s="17"/>
      <c r="M74" s="18"/>
      <c r="N74" s="15"/>
      <c r="O74" s="16"/>
      <c r="P74" s="16"/>
      <c r="Q74" s="16"/>
      <c r="R74" s="2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2:34" ht="15" thickBot="1" x14ac:dyDescent="0.35">
      <c r="B75" s="5"/>
      <c r="C75" s="20"/>
      <c r="D75" s="20"/>
      <c r="E75" s="20"/>
      <c r="F75" s="21"/>
      <c r="G75" s="18"/>
      <c r="H75" s="5"/>
      <c r="I75" s="20"/>
      <c r="J75" s="20"/>
      <c r="K75" s="20"/>
      <c r="L75" s="21"/>
      <c r="M75" s="18"/>
      <c r="N75" s="19"/>
      <c r="O75" s="20"/>
      <c r="P75" s="20"/>
      <c r="Q75" s="20"/>
      <c r="R75" s="2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2:34" x14ac:dyDescent="0.3"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2:34" x14ac:dyDescent="0.3"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</sheetData>
  <mergeCells count="3">
    <mergeCell ref="B1:F3"/>
    <mergeCell ref="H1:L3"/>
    <mergeCell ref="N1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Gagik</dc:creator>
  <cp:lastModifiedBy>USER</cp:lastModifiedBy>
  <dcterms:created xsi:type="dcterms:W3CDTF">2015-06-05T18:17:20Z</dcterms:created>
  <dcterms:modified xsi:type="dcterms:W3CDTF">2019-07-01T13:03:26Z</dcterms:modified>
</cp:coreProperties>
</file>